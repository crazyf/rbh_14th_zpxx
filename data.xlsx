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2CBE0DA-B9FC-4F76-8030-7A20E3251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B7" i="1"/>
  <c r="C7" i="1"/>
  <c r="D7" i="1"/>
  <c r="A8" i="1"/>
  <c r="B8" i="1"/>
  <c r="C8" i="1"/>
  <c r="D8" i="1"/>
  <c r="D9" i="1" s="1"/>
  <c r="D10" i="1" s="1"/>
  <c r="D11" i="1" s="1"/>
  <c r="D12" i="1" s="1"/>
  <c r="A9" i="1"/>
  <c r="A10" i="1" s="1"/>
  <c r="A11" i="1" s="1"/>
  <c r="A12" i="1" s="1"/>
  <c r="B9" i="1"/>
  <c r="B10" i="1" s="1"/>
  <c r="B11" i="1" s="1"/>
  <c r="B12" i="1" s="1"/>
  <c r="C9" i="1"/>
  <c r="C10" i="1" s="1"/>
  <c r="C11" i="1" s="1"/>
  <c r="C12" i="1" s="1"/>
  <c r="A14" i="1"/>
  <c r="B14" i="1"/>
  <c r="C14" i="1"/>
  <c r="D14" i="1"/>
  <c r="I6" i="1"/>
  <c r="I7" i="1"/>
  <c r="I8" i="1"/>
  <c r="I9" i="1"/>
  <c r="I10" i="1"/>
  <c r="I11" i="1"/>
  <c r="I12" i="1" s="1"/>
  <c r="I13" i="1" s="1"/>
  <c r="I14" i="1" s="1"/>
  <c r="A17" i="1"/>
  <c r="A18" i="1" s="1"/>
  <c r="B17" i="1"/>
  <c r="B18" i="1"/>
  <c r="A19" i="1"/>
  <c r="B19" i="1"/>
  <c r="A21" i="1"/>
  <c r="B21" i="1"/>
  <c r="A23" i="1"/>
  <c r="B23" i="1"/>
  <c r="A24" i="1"/>
  <c r="B24" i="1"/>
  <c r="A26" i="1"/>
  <c r="B26" i="1"/>
  <c r="A27" i="1"/>
  <c r="B27" i="1"/>
  <c r="A28" i="1"/>
  <c r="B28" i="1"/>
  <c r="A30" i="1"/>
  <c r="B30" i="1"/>
  <c r="A32" i="1"/>
  <c r="B32" i="1"/>
  <c r="K2" i="1"/>
  <c r="K3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A34" i="1"/>
  <c r="B34" i="1"/>
  <c r="C34" i="1"/>
  <c r="C35" i="1" s="1"/>
  <c r="C36" i="1" s="1"/>
  <c r="C37" i="1" s="1"/>
  <c r="C38" i="1" s="1"/>
  <c r="C39" i="1" s="1"/>
  <c r="C40" i="1" s="1"/>
  <c r="C41" i="1" s="1"/>
  <c r="C42" i="1" s="1"/>
  <c r="C43" i="1" s="1"/>
  <c r="D34" i="1"/>
  <c r="D35" i="1" s="1"/>
  <c r="D36" i="1" s="1"/>
  <c r="D37" i="1" s="1"/>
  <c r="D38" i="1" s="1"/>
  <c r="D39" i="1" s="1"/>
  <c r="D40" i="1" s="1"/>
  <c r="D41" i="1" s="1"/>
  <c r="D42" i="1" s="1"/>
  <c r="D43" i="1" s="1"/>
  <c r="A35" i="1"/>
  <c r="A36" i="1" s="1"/>
  <c r="B35" i="1"/>
  <c r="B36" i="1" s="1"/>
  <c r="A37" i="1"/>
  <c r="B37" i="1"/>
  <c r="B38" i="1" s="1"/>
  <c r="B39" i="1" s="1"/>
  <c r="B40" i="1" s="1"/>
  <c r="B41" i="1" s="1"/>
  <c r="B42" i="1" s="1"/>
  <c r="B43" i="1" s="1"/>
  <c r="A38" i="1"/>
  <c r="A39" i="1" s="1"/>
  <c r="A40" i="1" s="1"/>
  <c r="A41" i="1" s="1"/>
  <c r="A42" i="1" s="1"/>
  <c r="A43" i="1" s="1"/>
  <c r="J34" i="1"/>
  <c r="K34" i="1"/>
  <c r="J35" i="1"/>
  <c r="J36" i="1" s="1"/>
  <c r="J37" i="1" s="1"/>
  <c r="J38" i="1" s="1"/>
  <c r="J39" i="1" s="1"/>
  <c r="J40" i="1" s="1"/>
  <c r="J41" i="1" s="1"/>
  <c r="J42" i="1" s="1"/>
  <c r="J43" i="1" s="1"/>
  <c r="K35" i="1"/>
  <c r="K36" i="1" s="1"/>
  <c r="K37" i="1" s="1"/>
  <c r="K38" i="1" s="1"/>
  <c r="K39" i="1" s="1"/>
  <c r="K40" i="1" s="1"/>
  <c r="K41" i="1" s="1"/>
  <c r="K42" i="1" s="1"/>
  <c r="K43" i="1" s="1"/>
  <c r="A46" i="1"/>
  <c r="A47" i="1" s="1"/>
  <c r="B46" i="1"/>
  <c r="C46" i="1"/>
  <c r="D46" i="1"/>
  <c r="D47" i="1" s="1"/>
  <c r="B47" i="1"/>
  <c r="C47" i="1"/>
  <c r="K46" i="1"/>
  <c r="K47" i="1"/>
  <c r="A49" i="1"/>
  <c r="B49" i="1"/>
  <c r="B50" i="1" s="1"/>
  <c r="B51" i="1" s="1"/>
  <c r="B52" i="1" s="1"/>
  <c r="B53" i="1" s="1"/>
  <c r="B54" i="1" s="1"/>
  <c r="C49" i="1"/>
  <c r="C50" i="1" s="1"/>
  <c r="C51" i="1" s="1"/>
  <c r="C52" i="1" s="1"/>
  <c r="C53" i="1" s="1"/>
  <c r="C54" i="1" s="1"/>
  <c r="D49" i="1"/>
  <c r="A50" i="1"/>
  <c r="D50" i="1"/>
  <c r="D51" i="1" s="1"/>
  <c r="D52" i="1" s="1"/>
  <c r="D53" i="1" s="1"/>
  <c r="D54" i="1" s="1"/>
  <c r="A51" i="1"/>
  <c r="A52" i="1" s="1"/>
  <c r="A53" i="1" s="1"/>
  <c r="A54" i="1" s="1"/>
  <c r="H49" i="1"/>
  <c r="I49" i="1"/>
  <c r="J49" i="1"/>
  <c r="J50" i="1" s="1"/>
  <c r="J51" i="1" s="1"/>
  <c r="J52" i="1" s="1"/>
  <c r="J53" i="1" s="1"/>
  <c r="J54" i="1" s="1"/>
  <c r="K49" i="1"/>
  <c r="K50" i="1" s="1"/>
  <c r="K51" i="1" s="1"/>
  <c r="K52" i="1" s="1"/>
  <c r="K53" i="1" s="1"/>
  <c r="K54" i="1" s="1"/>
  <c r="H50" i="1"/>
  <c r="H51" i="1" s="1"/>
  <c r="H52" i="1" s="1"/>
  <c r="H53" i="1" s="1"/>
  <c r="H54" i="1" s="1"/>
  <c r="I50" i="1"/>
  <c r="I51" i="1"/>
  <c r="I52" i="1"/>
  <c r="I53" i="1" s="1"/>
  <c r="I54" i="1" s="1"/>
  <c r="A56" i="1"/>
  <c r="B56" i="1"/>
  <c r="C56" i="1"/>
  <c r="D56" i="1"/>
  <c r="A57" i="1"/>
  <c r="B57" i="1"/>
  <c r="B58" i="1" s="1"/>
  <c r="B59" i="1" s="1"/>
  <c r="B60" i="1" s="1"/>
  <c r="B61" i="1" s="1"/>
  <c r="C57" i="1"/>
  <c r="C58" i="1" s="1"/>
  <c r="C59" i="1" s="1"/>
  <c r="C60" i="1" s="1"/>
  <c r="C61" i="1" s="1"/>
  <c r="D57" i="1"/>
  <c r="D58" i="1" s="1"/>
  <c r="D59" i="1" s="1"/>
  <c r="D60" i="1" s="1"/>
  <c r="D61" i="1" s="1"/>
  <c r="A58" i="1"/>
  <c r="A59" i="1" s="1"/>
  <c r="A60" i="1"/>
  <c r="A61" i="1" s="1"/>
  <c r="H56" i="1"/>
  <c r="I56" i="1"/>
  <c r="J56" i="1"/>
  <c r="J57" i="1" s="1"/>
  <c r="K56" i="1"/>
  <c r="K57" i="1" s="1"/>
  <c r="H57" i="1"/>
  <c r="H58" i="1" s="1"/>
  <c r="I57" i="1"/>
  <c r="I58" i="1"/>
  <c r="J58" i="1"/>
  <c r="J59" i="1" s="1"/>
  <c r="J60" i="1" s="1"/>
  <c r="J61" i="1" s="1"/>
  <c r="K58" i="1"/>
  <c r="K59" i="1" s="1"/>
  <c r="K60" i="1" s="1"/>
  <c r="K61" i="1" s="1"/>
  <c r="H59" i="1"/>
  <c r="H60" i="1" s="1"/>
  <c r="H61" i="1" s="1"/>
  <c r="I59" i="1"/>
  <c r="I60" i="1" s="1"/>
  <c r="I61" i="1"/>
  <c r="A63" i="1"/>
  <c r="A64" i="1" s="1"/>
  <c r="A65" i="1" s="1"/>
  <c r="A66" i="1" s="1"/>
  <c r="A67" i="1" s="1"/>
  <c r="A68" i="1" s="1"/>
  <c r="B63" i="1"/>
  <c r="B64" i="1" s="1"/>
  <c r="B65" i="1" s="1"/>
  <c r="B66" i="1" s="1"/>
  <c r="B67" i="1" s="1"/>
  <c r="B68" i="1" s="1"/>
  <c r="C63" i="1"/>
  <c r="D63" i="1"/>
  <c r="C64" i="1"/>
  <c r="D64" i="1"/>
  <c r="C65" i="1"/>
  <c r="C66" i="1" s="1"/>
  <c r="C67" i="1" s="1"/>
  <c r="C68" i="1" s="1"/>
  <c r="D65" i="1"/>
  <c r="D66" i="1" s="1"/>
  <c r="D67" i="1" s="1"/>
  <c r="D68" i="1" s="1"/>
  <c r="H63" i="1"/>
  <c r="I63" i="1"/>
  <c r="I64" i="1" s="1"/>
  <c r="I65" i="1" s="1"/>
  <c r="I66" i="1" s="1"/>
  <c r="I67" i="1" s="1"/>
  <c r="I68" i="1" s="1"/>
  <c r="J63" i="1"/>
  <c r="J64" i="1" s="1"/>
  <c r="J65" i="1" s="1"/>
  <c r="J66" i="1" s="1"/>
  <c r="J67" i="1" s="1"/>
  <c r="J68" i="1" s="1"/>
  <c r="H64" i="1"/>
  <c r="H65" i="1" s="1"/>
  <c r="H66" i="1" s="1"/>
  <c r="H67" i="1" s="1"/>
  <c r="H68" i="1" s="1"/>
  <c r="A70" i="1"/>
  <c r="B70" i="1"/>
  <c r="C70" i="1"/>
  <c r="D70" i="1"/>
  <c r="A71" i="1"/>
  <c r="B71" i="1"/>
  <c r="C71" i="1"/>
  <c r="D71" i="1"/>
  <c r="A75" i="1"/>
  <c r="A76" i="1" s="1"/>
  <c r="A77" i="1" s="1"/>
  <c r="A78" i="1" s="1"/>
  <c r="A79" i="1" s="1"/>
  <c r="B75" i="1"/>
  <c r="C75" i="1"/>
  <c r="C76" i="1" s="1"/>
  <c r="D75" i="1"/>
  <c r="D76" i="1" s="1"/>
  <c r="B76" i="1"/>
  <c r="B77" i="1"/>
  <c r="B78" i="1" s="1"/>
  <c r="C77" i="1"/>
  <c r="C78" i="1" s="1"/>
  <c r="C79" i="1" s="1"/>
  <c r="D77" i="1"/>
  <c r="D78" i="1"/>
  <c r="D79" i="1" s="1"/>
  <c r="B79" i="1"/>
  <c r="J75" i="1"/>
  <c r="J76" i="1"/>
  <c r="J77" i="1"/>
  <c r="J78" i="1"/>
  <c r="J79" i="1" s="1"/>
  <c r="A81" i="1"/>
  <c r="A82" i="1" s="1"/>
  <c r="B81" i="1"/>
  <c r="B82" i="1" s="1"/>
  <c r="C81" i="1"/>
  <c r="C82" i="1" s="1"/>
  <c r="D81" i="1"/>
  <c r="D82" i="1" s="1"/>
  <c r="G81" i="1"/>
  <c r="G82" i="1"/>
  <c r="J81" i="1"/>
  <c r="J82" i="1"/>
  <c r="A84" i="1"/>
  <c r="B84" i="1"/>
  <c r="C84" i="1"/>
  <c r="D84" i="1"/>
  <c r="I81" i="1"/>
  <c r="I82" i="1" s="1"/>
  <c r="I83" i="1" s="1"/>
  <c r="I84" i="1" s="1"/>
  <c r="K63" i="1"/>
  <c r="K64" i="1"/>
  <c r="K65" i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A87" i="1"/>
  <c r="A88" i="1" s="1"/>
  <c r="A89" i="1" s="1"/>
  <c r="B87" i="1"/>
  <c r="B88" i="1" s="1"/>
  <c r="C87" i="1"/>
  <c r="C88" i="1" s="1"/>
  <c r="D87" i="1"/>
  <c r="D88" i="1"/>
  <c r="B89" i="1"/>
  <c r="C89" i="1"/>
  <c r="D89" i="1"/>
  <c r="J87" i="1"/>
  <c r="J88" i="1" s="1"/>
  <c r="J89" i="1" s="1"/>
  <c r="I86" i="1"/>
  <c r="I87" i="1"/>
  <c r="I88" i="1"/>
  <c r="I89" i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A91" i="1"/>
  <c r="B91" i="1"/>
  <c r="C91" i="1"/>
  <c r="D91" i="1"/>
  <c r="A92" i="1"/>
  <c r="B92" i="1"/>
  <c r="C92" i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D92" i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A93" i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B93" i="1"/>
  <c r="B94" i="1"/>
  <c r="B95" i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J91" i="1"/>
  <c r="J92" i="1"/>
  <c r="J93" i="1" s="1"/>
  <c r="J94" i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A109" i="1"/>
  <c r="B109" i="1"/>
  <c r="B110" i="1" s="1"/>
  <c r="B111" i="1" s="1"/>
  <c r="B112" i="1" s="1"/>
  <c r="A110" i="1"/>
  <c r="A111" i="1" s="1"/>
  <c r="A112" i="1" s="1"/>
  <c r="A116" i="1"/>
  <c r="B116" i="1"/>
  <c r="A118" i="1"/>
  <c r="A119" i="1" s="1"/>
  <c r="B118" i="1"/>
  <c r="B119" i="1" s="1"/>
  <c r="C118" i="1"/>
  <c r="C119" i="1" s="1"/>
  <c r="D118" i="1"/>
  <c r="D119" i="1" s="1"/>
  <c r="J118" i="1"/>
  <c r="J119" i="1"/>
  <c r="A121" i="1"/>
  <c r="B121" i="1"/>
  <c r="C121" i="1"/>
  <c r="D121" i="1"/>
  <c r="J121" i="1"/>
  <c r="A123" i="1"/>
  <c r="A124" i="1" s="1"/>
  <c r="A125" i="1" s="1"/>
  <c r="A126" i="1" s="1"/>
  <c r="B123" i="1"/>
  <c r="B124" i="1" s="1"/>
  <c r="B125" i="1" s="1"/>
  <c r="B126" i="1" s="1"/>
  <c r="C123" i="1"/>
  <c r="D123" i="1"/>
  <c r="C124" i="1"/>
  <c r="C125" i="1" s="1"/>
  <c r="C126" i="1" s="1"/>
  <c r="D124" i="1"/>
  <c r="D125" i="1" s="1"/>
  <c r="D126" i="1" s="1"/>
  <c r="J123" i="1"/>
  <c r="J124" i="1" s="1"/>
  <c r="J125" i="1" s="1"/>
  <c r="J126" i="1" s="1"/>
  <c r="A128" i="1"/>
  <c r="B128" i="1"/>
  <c r="C128" i="1"/>
  <c r="D128" i="1"/>
  <c r="A129" i="1"/>
  <c r="A130" i="1" s="1"/>
  <c r="B129" i="1"/>
  <c r="B130" i="1" s="1"/>
  <c r="C129" i="1"/>
  <c r="C130" i="1" s="1"/>
  <c r="D129" i="1"/>
  <c r="D130" i="1" s="1"/>
  <c r="J128" i="1"/>
  <c r="J129" i="1" s="1"/>
  <c r="J130" i="1" s="1"/>
  <c r="A132" i="1"/>
  <c r="B132" i="1"/>
  <c r="C132" i="1"/>
  <c r="D132" i="1"/>
  <c r="D133" i="1" s="1"/>
  <c r="D134" i="1" s="1"/>
  <c r="D135" i="1" s="1"/>
  <c r="A133" i="1"/>
  <c r="B133" i="1"/>
  <c r="C133" i="1"/>
  <c r="A134" i="1"/>
  <c r="B134" i="1"/>
  <c r="C134" i="1"/>
  <c r="A135" i="1"/>
  <c r="B135" i="1"/>
  <c r="C135" i="1"/>
  <c r="J132" i="1"/>
  <c r="J133" i="1"/>
  <c r="J134" i="1" s="1"/>
  <c r="J135" i="1" s="1"/>
  <c r="A138" i="1"/>
  <c r="B138" i="1"/>
  <c r="B139" i="1" s="1"/>
  <c r="A139" i="1"/>
  <c r="A140" i="1"/>
  <c r="B140" i="1"/>
  <c r="A142" i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B142" i="1"/>
  <c r="C142" i="1"/>
  <c r="D142" i="1"/>
  <c r="B143" i="1"/>
  <c r="C143" i="1"/>
  <c r="D143" i="1"/>
  <c r="B144" i="1"/>
  <c r="B145" i="1" s="1"/>
  <c r="B146" i="1" s="1"/>
  <c r="B147" i="1" s="1"/>
  <c r="B148" i="1" s="1"/>
  <c r="B149" i="1" s="1"/>
  <c r="B150" i="1" s="1"/>
  <c r="B151" i="1" s="1"/>
  <c r="B152" i="1" s="1"/>
  <c r="C144" i="1"/>
  <c r="C145" i="1" s="1"/>
  <c r="C146" i="1" s="1"/>
  <c r="C147" i="1" s="1"/>
  <c r="C148" i="1" s="1"/>
  <c r="C149" i="1" s="1"/>
  <c r="C150" i="1" s="1"/>
  <c r="C151" i="1" s="1"/>
  <c r="C152" i="1" s="1"/>
  <c r="D144" i="1"/>
  <c r="D145" i="1" s="1"/>
  <c r="D146" i="1" s="1"/>
  <c r="D147" i="1" s="1"/>
  <c r="D148" i="1" s="1"/>
  <c r="D149" i="1" s="1"/>
  <c r="D150" i="1" s="1"/>
  <c r="D151" i="1" s="1"/>
  <c r="D152" i="1" s="1"/>
  <c r="A154" i="1"/>
  <c r="B154" i="1"/>
  <c r="A155" i="1"/>
  <c r="B155" i="1"/>
  <c r="A158" i="1"/>
  <c r="A159" i="1" s="1"/>
  <c r="A160" i="1" s="1"/>
  <c r="B158" i="1"/>
  <c r="B159" i="1" s="1"/>
  <c r="B160" i="1" s="1"/>
  <c r="K91" i="1"/>
  <c r="K92" i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A162" i="1"/>
  <c r="B162" i="1"/>
  <c r="C162" i="1"/>
  <c r="C163" i="1" s="1"/>
  <c r="C164" i="1" s="1"/>
  <c r="D162" i="1"/>
  <c r="D163" i="1" s="1"/>
  <c r="D164" i="1" s="1"/>
  <c r="A163" i="1"/>
  <c r="A164" i="1" s="1"/>
  <c r="B163" i="1"/>
  <c r="B164" i="1" s="1"/>
  <c r="J162" i="1"/>
  <c r="J163" i="1"/>
  <c r="J164" i="1"/>
  <c r="G162" i="1"/>
  <c r="G163" i="1"/>
  <c r="G164" i="1"/>
  <c r="A166" i="1"/>
  <c r="A167" i="1" s="1"/>
  <c r="A168" i="1" s="1"/>
  <c r="A169" i="1" s="1"/>
  <c r="B166" i="1"/>
  <c r="B167" i="1" s="1"/>
  <c r="B168" i="1" s="1"/>
  <c r="B169" i="1" s="1"/>
  <c r="C166" i="1"/>
  <c r="C167" i="1" s="1"/>
  <c r="D166" i="1"/>
  <c r="D167" i="1" s="1"/>
  <c r="C168" i="1"/>
  <c r="C169" i="1" s="1"/>
  <c r="D168" i="1"/>
  <c r="D169" i="1" s="1"/>
  <c r="J166" i="1"/>
  <c r="J167" i="1" s="1"/>
  <c r="J168" i="1" s="1"/>
  <c r="J169" i="1" s="1"/>
  <c r="K166" i="1"/>
  <c r="K167" i="1"/>
  <c r="K168" i="1"/>
  <c r="K169" i="1"/>
  <c r="K170" i="1"/>
  <c r="K171" i="1" s="1"/>
  <c r="A171" i="1"/>
  <c r="A172" i="1" s="1"/>
  <c r="B171" i="1"/>
  <c r="C171" i="1"/>
  <c r="D171" i="1"/>
  <c r="B172" i="1"/>
  <c r="C172" i="1"/>
  <c r="D172" i="1"/>
  <c r="J171" i="1"/>
  <c r="J172" i="1"/>
  <c r="K172" i="1"/>
  <c r="A174" i="1"/>
  <c r="A175" i="1" s="1"/>
  <c r="A176" i="1" s="1"/>
  <c r="A177" i="1" s="1"/>
  <c r="A178" i="1" s="1"/>
  <c r="B174" i="1"/>
  <c r="C174" i="1"/>
  <c r="D174" i="1"/>
  <c r="B175" i="1"/>
  <c r="B176" i="1" s="1"/>
  <c r="C175" i="1"/>
  <c r="C176" i="1" s="1"/>
  <c r="D175" i="1"/>
  <c r="D176" i="1" s="1"/>
  <c r="D177" i="1" s="1"/>
  <c r="D178" i="1" s="1"/>
  <c r="B177" i="1"/>
  <c r="B178" i="1" s="1"/>
  <c r="C177" i="1"/>
  <c r="C178" i="1" s="1"/>
  <c r="J174" i="1"/>
  <c r="J175" i="1"/>
  <c r="J176" i="1"/>
  <c r="J177" i="1"/>
  <c r="J178" i="1" s="1"/>
  <c r="K174" i="1"/>
  <c r="K175" i="1" s="1"/>
  <c r="K176" i="1" s="1"/>
  <c r="K177" i="1" s="1"/>
  <c r="K178" i="1" s="1"/>
  <c r="K179" i="1" s="1"/>
  <c r="K180" i="1" s="1"/>
  <c r="K181" i="1" s="1"/>
  <c r="K182" i="1" s="1"/>
  <c r="K183" i="1" s="1"/>
  <c r="A180" i="1"/>
  <c r="B180" i="1"/>
  <c r="C180" i="1"/>
  <c r="D180" i="1"/>
  <c r="D181" i="1" s="1"/>
  <c r="D182" i="1" s="1"/>
  <c r="D183" i="1" s="1"/>
  <c r="A181" i="1"/>
  <c r="A182" i="1" s="1"/>
  <c r="A183" i="1" s="1"/>
  <c r="B181" i="1"/>
  <c r="B182" i="1" s="1"/>
  <c r="B183" i="1" s="1"/>
  <c r="C181" i="1"/>
  <c r="C182" i="1" s="1"/>
  <c r="C183" i="1"/>
  <c r="J180" i="1"/>
  <c r="J181" i="1" s="1"/>
  <c r="J182" i="1" s="1"/>
  <c r="J183" i="1" s="1"/>
  <c r="G180" i="1"/>
  <c r="G181" i="1" s="1"/>
  <c r="G182" i="1" s="1"/>
  <c r="G183" i="1" s="1"/>
  <c r="A185" i="1"/>
  <c r="B185" i="1"/>
  <c r="B186" i="1" s="1"/>
  <c r="C185" i="1"/>
  <c r="C186" i="1" s="1"/>
  <c r="D185" i="1"/>
  <c r="D186" i="1" s="1"/>
  <c r="A186" i="1"/>
  <c r="G185" i="1"/>
  <c r="G186" i="1" s="1"/>
  <c r="H185" i="1"/>
  <c r="H186" i="1" s="1"/>
  <c r="J185" i="1"/>
  <c r="K185" i="1"/>
  <c r="J186" i="1"/>
  <c r="K186" i="1"/>
  <c r="I161" i="1"/>
  <c r="I162" i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A188" i="1"/>
  <c r="A189" i="1" s="1"/>
  <c r="A190" i="1" s="1"/>
  <c r="A191" i="1" s="1"/>
  <c r="B188" i="1"/>
  <c r="C188" i="1"/>
  <c r="C189" i="1" s="1"/>
  <c r="C190" i="1" s="1"/>
  <c r="D188" i="1"/>
  <c r="D189" i="1" s="1"/>
  <c r="D190" i="1" s="1"/>
  <c r="B189" i="1"/>
  <c r="B190" i="1" s="1"/>
  <c r="B191" i="1"/>
  <c r="C191" i="1"/>
  <c r="D191" i="1"/>
  <c r="G188" i="1"/>
  <c r="G189" i="1" s="1"/>
  <c r="G190" i="1" s="1"/>
  <c r="G191" i="1" s="1"/>
  <c r="H188" i="1"/>
  <c r="H189" i="1" s="1"/>
  <c r="H190" i="1" s="1"/>
  <c r="H191" i="1" s="1"/>
  <c r="J188" i="1"/>
  <c r="J189" i="1"/>
  <c r="J190" i="1" s="1"/>
  <c r="J191" i="1" s="1"/>
  <c r="A194" i="1"/>
  <c r="B194" i="1"/>
  <c r="C194" i="1"/>
  <c r="D194" i="1"/>
  <c r="A195" i="1"/>
  <c r="B195" i="1"/>
  <c r="B196" i="1" s="1"/>
  <c r="C195" i="1"/>
  <c r="C196" i="1" s="1"/>
  <c r="D195" i="1"/>
  <c r="D196" i="1" s="1"/>
  <c r="A196" i="1"/>
  <c r="A203" i="1"/>
  <c r="B203" i="1"/>
  <c r="B204" i="1" s="1"/>
  <c r="A204" i="1"/>
  <c r="A206" i="1"/>
  <c r="B206" i="1"/>
  <c r="A208" i="1"/>
  <c r="A209" i="1" s="1"/>
  <c r="A210" i="1" s="1"/>
  <c r="B208" i="1"/>
  <c r="B209" i="1" s="1"/>
  <c r="B210" i="1" s="1"/>
  <c r="A212" i="1"/>
  <c r="B212" i="1"/>
  <c r="C212" i="1"/>
  <c r="D212" i="1"/>
  <c r="A213" i="1"/>
  <c r="B213" i="1"/>
  <c r="B214" i="1" s="1"/>
  <c r="C213" i="1"/>
  <c r="C214" i="1" s="1"/>
  <c r="D213" i="1"/>
  <c r="D214" i="1" s="1"/>
  <c r="A214" i="1"/>
  <c r="J212" i="1"/>
  <c r="J213" i="1"/>
  <c r="J214" i="1"/>
  <c r="K188" i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A216" i="1"/>
  <c r="B216" i="1"/>
  <c r="B217" i="1" s="1"/>
  <c r="B218" i="1" s="1"/>
  <c r="C216" i="1"/>
  <c r="C217" i="1" s="1"/>
  <c r="C218" i="1" s="1"/>
  <c r="D216" i="1"/>
  <c r="D217" i="1" s="1"/>
  <c r="D218" i="1" s="1"/>
  <c r="A217" i="1"/>
  <c r="A218" i="1" s="1"/>
  <c r="J216" i="1"/>
  <c r="J217" i="1"/>
  <c r="J218" i="1"/>
  <c r="A221" i="1"/>
  <c r="B221" i="1"/>
  <c r="C221" i="1"/>
  <c r="D221" i="1"/>
  <c r="J221" i="1"/>
  <c r="A223" i="1"/>
  <c r="B223" i="1"/>
  <c r="B224" i="1" s="1"/>
  <c r="A224" i="1"/>
  <c r="I225" i="1"/>
  <c r="A226" i="1"/>
  <c r="B226" i="1"/>
  <c r="C226" i="1"/>
  <c r="D226" i="1"/>
  <c r="I226" i="1"/>
  <c r="J226" i="1"/>
  <c r="K220" i="1"/>
  <c r="K221" i="1"/>
  <c r="K222" i="1"/>
  <c r="K223" i="1" s="1"/>
  <c r="K224" i="1" s="1"/>
  <c r="K225" i="1" s="1"/>
  <c r="K226" i="1" s="1"/>
  <c r="K227" i="1" s="1"/>
  <c r="A229" i="1"/>
  <c r="B229" i="1"/>
  <c r="C229" i="1"/>
  <c r="C230" i="1" s="1"/>
  <c r="D229" i="1"/>
  <c r="D230" i="1" s="1"/>
  <c r="A230" i="1"/>
  <c r="B230" i="1"/>
  <c r="J229" i="1"/>
  <c r="K229" i="1"/>
  <c r="K230" i="1" s="1"/>
  <c r="J230" i="1"/>
  <c r="I228" i="1"/>
  <c r="I229" i="1"/>
  <c r="I230" i="1"/>
  <c r="I231" i="1"/>
  <c r="A233" i="1"/>
  <c r="A234" i="1" s="1"/>
  <c r="A235" i="1" s="1"/>
  <c r="A236" i="1" s="1"/>
  <c r="B233" i="1"/>
  <c r="B234" i="1" s="1"/>
  <c r="B235" i="1" s="1"/>
  <c r="B236" i="1" s="1"/>
  <c r="C233" i="1"/>
  <c r="C234" i="1" s="1"/>
  <c r="C235" i="1" s="1"/>
  <c r="D233" i="1"/>
  <c r="D234" i="1" s="1"/>
  <c r="D235" i="1" s="1"/>
  <c r="C236" i="1"/>
  <c r="D236" i="1"/>
  <c r="A238" i="1"/>
  <c r="A239" i="1" s="1"/>
  <c r="A240" i="1" s="1"/>
  <c r="A241" i="1" s="1"/>
  <c r="B238" i="1"/>
  <c r="B239" i="1" s="1"/>
  <c r="B240" i="1" s="1"/>
  <c r="B241" i="1" s="1"/>
  <c r="C238" i="1"/>
  <c r="D238" i="1"/>
  <c r="C239" i="1"/>
  <c r="D239" i="1"/>
  <c r="C240" i="1"/>
  <c r="C241" i="1" s="1"/>
  <c r="D240" i="1"/>
  <c r="D241" i="1" s="1"/>
  <c r="A245" i="1"/>
  <c r="B245" i="1"/>
  <c r="C245" i="1"/>
  <c r="D245" i="1"/>
  <c r="A246" i="1"/>
  <c r="B246" i="1"/>
  <c r="B247" i="1" s="1"/>
  <c r="B248" i="1" s="1"/>
  <c r="C246" i="1"/>
  <c r="C247" i="1" s="1"/>
  <c r="C248" i="1" s="1"/>
  <c r="D246" i="1"/>
  <c r="D247" i="1" s="1"/>
  <c r="D248" i="1" s="1"/>
  <c r="A247" i="1"/>
  <c r="A248" i="1" s="1"/>
  <c r="K232" i="1"/>
  <c r="K233" i="1"/>
  <c r="K234" i="1" s="1"/>
  <c r="K235" i="1" s="1"/>
  <c r="K236" i="1" s="1"/>
  <c r="K237" i="1" s="1"/>
  <c r="K238" i="1" s="1"/>
  <c r="K239" i="1" s="1"/>
  <c r="K240" i="1"/>
  <c r="K241" i="1"/>
  <c r="K242" i="1" s="1"/>
  <c r="K243" i="1" s="1"/>
  <c r="K244" i="1" s="1"/>
  <c r="K245" i="1" s="1"/>
  <c r="K246" i="1" s="1"/>
  <c r="A250" i="1"/>
  <c r="B250" i="1"/>
  <c r="C250" i="1"/>
  <c r="D250" i="1"/>
  <c r="A252" i="1"/>
  <c r="B252" i="1"/>
  <c r="C252" i="1"/>
  <c r="D252" i="1"/>
  <c r="A255" i="1"/>
  <c r="B255" i="1"/>
  <c r="C255" i="1"/>
  <c r="D255" i="1"/>
  <c r="A256" i="1"/>
  <c r="B256" i="1"/>
  <c r="B257" i="1" s="1"/>
  <c r="B258" i="1" s="1"/>
  <c r="B259" i="1" s="1"/>
  <c r="C256" i="1"/>
  <c r="C257" i="1" s="1"/>
  <c r="C258" i="1" s="1"/>
  <c r="C259" i="1" s="1"/>
  <c r="D256" i="1"/>
  <c r="D257" i="1" s="1"/>
  <c r="D258" i="1" s="1"/>
  <c r="D259" i="1" s="1"/>
  <c r="A257" i="1"/>
  <c r="A258" i="1"/>
  <c r="A259" i="1" s="1"/>
  <c r="A262" i="1"/>
  <c r="B262" i="1"/>
  <c r="A264" i="1"/>
  <c r="B264" i="1"/>
  <c r="C264" i="1"/>
  <c r="D264" i="1"/>
  <c r="A265" i="1"/>
  <c r="A266" i="1" s="1"/>
  <c r="B265" i="1"/>
  <c r="B266" i="1" s="1"/>
  <c r="C265" i="1"/>
  <c r="C266" i="1" s="1"/>
  <c r="D265" i="1"/>
  <c r="D266" i="1"/>
  <c r="A268" i="1"/>
  <c r="A269" i="1" s="1"/>
  <c r="A270" i="1" s="1"/>
  <c r="A271" i="1" s="1"/>
  <c r="B268" i="1"/>
  <c r="B269" i="1" s="1"/>
  <c r="B270" i="1" s="1"/>
  <c r="B271" i="1" s="1"/>
  <c r="C268" i="1"/>
  <c r="C269" i="1" s="1"/>
  <c r="C270" i="1" s="1"/>
  <c r="C271" i="1" s="1"/>
  <c r="D268" i="1"/>
  <c r="D269" i="1" s="1"/>
  <c r="D270" i="1"/>
  <c r="D271" i="1"/>
  <c r="J268" i="1"/>
  <c r="J269" i="1"/>
  <c r="J270" i="1"/>
  <c r="J271" i="1"/>
  <c r="A273" i="1"/>
  <c r="A274" i="1" s="1"/>
  <c r="A275" i="1" s="1"/>
  <c r="A276" i="1" s="1"/>
  <c r="A277" i="1" s="1"/>
  <c r="A278" i="1" s="1"/>
  <c r="A279" i="1" s="1"/>
  <c r="B273" i="1"/>
  <c r="B274" i="1" s="1"/>
  <c r="C273" i="1"/>
  <c r="C274" i="1" s="1"/>
  <c r="D273" i="1"/>
  <c r="D274" i="1" s="1"/>
  <c r="B275" i="1"/>
  <c r="B276" i="1" s="1"/>
  <c r="B277" i="1" s="1"/>
  <c r="B278" i="1" s="1"/>
  <c r="B279" i="1" s="1"/>
  <c r="C275" i="1"/>
  <c r="C276" i="1" s="1"/>
  <c r="C277" i="1" s="1"/>
  <c r="C278" i="1" s="1"/>
  <c r="C279" i="1" s="1"/>
  <c r="D275" i="1"/>
  <c r="D276" i="1" s="1"/>
  <c r="D277" i="1" s="1"/>
  <c r="D278" i="1" s="1"/>
  <c r="D279" i="1" s="1"/>
  <c r="A281" i="1"/>
  <c r="A282" i="1" s="1"/>
  <c r="A283" i="1" s="1"/>
  <c r="A284" i="1" s="1"/>
  <c r="A285" i="1" s="1"/>
  <c r="A286" i="1" s="1"/>
  <c r="A287" i="1" s="1"/>
  <c r="B281" i="1"/>
  <c r="B282" i="1" s="1"/>
  <c r="B283" i="1" s="1"/>
  <c r="B284" i="1" s="1"/>
  <c r="B285" i="1" s="1"/>
  <c r="B286" i="1" s="1"/>
  <c r="B287" i="1" s="1"/>
  <c r="B292" i="1"/>
  <c r="B293" i="1" s="1"/>
  <c r="B294" i="1" s="1"/>
  <c r="A292" i="1"/>
  <c r="A293" i="1" s="1"/>
  <c r="A294" i="1"/>
  <c r="A295" i="1"/>
  <c r="A296" i="1" s="1"/>
  <c r="K248" i="1"/>
  <c r="K249" i="1"/>
  <c r="K250" i="1"/>
  <c r="K251" i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B296" i="1"/>
  <c r="C296" i="1"/>
  <c r="D296" i="1"/>
  <c r="E296" i="1"/>
  <c r="F296" i="1"/>
  <c r="G296" i="1"/>
  <c r="H296" i="1"/>
  <c r="I296" i="1"/>
  <c r="J296" i="1"/>
</calcChain>
</file>

<file path=xl/sharedStrings.xml><?xml version="1.0" encoding="utf-8"?>
<sst xmlns="http://schemas.openxmlformats.org/spreadsheetml/2006/main" count="1613" uniqueCount="820">
  <si>
    <t>序号</t>
  </si>
  <si>
    <t>单位性质</t>
  </si>
  <si>
    <t>所属行业</t>
  </si>
  <si>
    <t>岗位名称</t>
  </si>
  <si>
    <t>需求人数</t>
  </si>
  <si>
    <t>需求专业</t>
  </si>
  <si>
    <t>学历学位</t>
  </si>
  <si>
    <t>任职要求</t>
  </si>
  <si>
    <t>工作地域</t>
  </si>
  <si>
    <t>备注</t>
  </si>
  <si>
    <t>贵州信航云信息技术有限公司</t>
  </si>
  <si>
    <t>民营企业</t>
  </si>
  <si>
    <t>大数据</t>
  </si>
  <si>
    <t>数据标注</t>
  </si>
  <si>
    <t>不限</t>
  </si>
  <si>
    <t>大学专科</t>
  </si>
  <si>
    <t>任职要求：
1、熟悉基本电脑操作，能够快速适应标注软件的使用；
2、具有良好的逻辑思维能力和细节关注力，对待工作认真负责；
3、具备优秀的团队合作精神和沟通能力，能够高效协作；
4、对数据处理和AI技术有基础了解，愿意在数据标注领域长期发展。
5、大专以上学历
6、接受实习生</t>
  </si>
  <si>
    <t>贵阳观山湖</t>
  </si>
  <si>
    <t>贵州蜂巢数标科技有限公司</t>
  </si>
  <si>
    <t>贵州泷黔酒业有限公司</t>
  </si>
  <si>
    <t>现代服务业</t>
  </si>
  <si>
    <t>网络销售</t>
  </si>
  <si>
    <t>市场营销/电子商务</t>
  </si>
  <si>
    <t xml:space="preserve">工作内容
1、通过网络平台进行产品销售，实现销售目标
2、维护现有客户关系，拓展新的客户渠道
任职要求
1、具备出色的沟通技巧和客户服务意识
2、能够独立处理和解决销售过程中的问题
3、对网络销售有浓厚兴趣，能够适应快节奏的生活环境
</t>
  </si>
  <si>
    <t>贵州省品牌中心</t>
  </si>
  <si>
    <t>贵州数致协同科技有限公司</t>
  </si>
  <si>
    <t>人工智能训练师</t>
  </si>
  <si>
    <t>不限专业</t>
  </si>
  <si>
    <t>会电脑基本操作</t>
  </si>
  <si>
    <t>贵州省贵阳市观山湖区</t>
  </si>
  <si>
    <t>天枢鸟（贵州）航空科技有限公司</t>
  </si>
  <si>
    <t>无人机装配师</t>
  </si>
  <si>
    <t>机械自动化、电力工程方向</t>
  </si>
  <si>
    <t>大专以上</t>
  </si>
  <si>
    <t>3D建模师</t>
  </si>
  <si>
    <t>工业设计、产品设计方向</t>
  </si>
  <si>
    <t>本科以上</t>
  </si>
  <si>
    <t>飞行器维保师</t>
  </si>
  <si>
    <t>机械制造方向</t>
  </si>
  <si>
    <t>低空智能调度员</t>
  </si>
  <si>
    <t>交通、物流方向</t>
  </si>
  <si>
    <t>飞行器控制</t>
  </si>
  <si>
    <t>计算机、大数据方向</t>
  </si>
  <si>
    <t>低空文旅讲解员</t>
  </si>
  <si>
    <t>旅游、文秘专业</t>
  </si>
  <si>
    <t>行政专员</t>
  </si>
  <si>
    <t>文秘、行政、人力资源方向</t>
  </si>
  <si>
    <t>贵阳国际生态会议中心有限公司</t>
  </si>
  <si>
    <t>销售经理</t>
  </si>
  <si>
    <t>市场营销、酒店管理等</t>
  </si>
  <si>
    <t>面点师傅</t>
  </si>
  <si>
    <t>中心面点工艺、烹饪与营养教育等</t>
  </si>
  <si>
    <t>世纪恒通科技股份有限公司</t>
  </si>
  <si>
    <t>数据审核标注专员</t>
  </si>
  <si>
    <t>核心工作内容：
1.多场景内容处理与标注：覆盖微信公众号、文章、视频号、游戏圈、评论、电商等生态，以及智能驾驶、通用大模型研发相关场景，根据平台规则对文本、图像、语音、视频、2D/3D/4D图像、点云数据等各类内容进行分析、判断、标记、归类、拆分、重组，同时开展内容合规审核与质检工作。
2.资质与数据核验：审核电商等场景下商家或内容的资质材料，确保信息真实有效；对标注后的各类AI训练数据进行质量核查，保障数据标注的准确性与规范性。
3.专业数据标注：针对智能驾驶场景，对点云数据中的车辆、行人、车道线、障碍物等元素进行高精度2D/3D/4D精细标注；针对通用大模型场景，完成图像、文本、语音、视频等多模态数据的转写、分割等处理，为大模型研发提供高质量数据元。
4.项目协同与复盘：参与各类标注项目的数据整理、问题沟通、项目复盘与数据统计工作，配合团队完成项目推进与优化。</t>
  </si>
  <si>
    <t>贵州省贵阳市白云区沙文镇科教街188号世纪产业园</t>
  </si>
  <si>
    <t>贵州航宇科技发展股份有限公司</t>
  </si>
  <si>
    <t>航空航天及装备制造业</t>
  </si>
  <si>
    <t>锻造工程师</t>
  </si>
  <si>
    <t>材料成型及控制工程，金属材料</t>
  </si>
  <si>
    <t>本科及学士学位</t>
  </si>
  <si>
    <t xml:space="preserve">1.统招本科及以上学历，材料成型、金属材料相关专业
2.3年及以上金属锻造工作经验
</t>
  </si>
  <si>
    <t>贵州贵阳，四川德阳</t>
  </si>
  <si>
    <t>销售项目经理（国际）</t>
  </si>
  <si>
    <t>材料成型及控制工程，金属材料等以及航空兵器类专业</t>
  </si>
  <si>
    <t xml:space="preserve">1.统招本科及以上学历，材料成型、金属材料相关专业
2.3年及以上金属锻件国际销售经验
3.具备军工、核电、海装等行业客户资源。
</t>
  </si>
  <si>
    <t>销售项目经理（国内）</t>
  </si>
  <si>
    <t>质量工程师</t>
  </si>
  <si>
    <t xml:space="preserve">1.统招本科及以上学历，材料成型、金属材料相关专业
2.3年及以上金属材料质量岗位工作经验
</t>
  </si>
  <si>
    <t>中测高科（北京）人才测评中心有限公司贵州分公司</t>
  </si>
  <si>
    <t>服务行业</t>
  </si>
  <si>
    <t>大客户经理</t>
  </si>
  <si>
    <t>不限（有销售经验、沟通能力强并适应出差者优先）</t>
  </si>
  <si>
    <t>本科</t>
  </si>
  <si>
    <t xml:space="preserve">
任职要求:
1、专业不限，性别不限，一年以上销售或市场工作经验，优秀本科应届毕业生亦可；
2、具有良好的个人信誉及职业操守，身心健康，能适应出差，无不良工作记录；
3、性格外向，具备较强的学习能力及团队合作精神，强烈的事业心及挑战精神；
4、具有独立工作能力，勇于接受工作挑战，有市场竞争意识，抗压能力强；
5、有一定的商务接待能力和独立的市场开拓能力，有渠道开发管理经验者优先考虑；
6、具有较强的沟通谈判能力、交际能力、组织协调能力；
7、有一定的文字功底，熟练操作办公软件。
</t>
  </si>
  <si>
    <t>贵阳.观山湖区</t>
  </si>
  <si>
    <t>投标专员</t>
  </si>
  <si>
    <t>不限（有投标类经验、沟通能力强、抗压能力强者优先）</t>
  </si>
  <si>
    <t xml:space="preserve">任职要求：
1. 经验要求：具有1年以上招投标工作经验，熟悉招投标法律法规及流程，有成功中标案例者优先。 2. 技能要求：熟练使用计算机及办公软件，如Word、Excel、PPT等，能够快速制作高质量投标文件、数据报表及演示文档；熟悉电子招投标系统操作，具备较强的数据处理和分析能力。 3. 具备良好的文字撰写能力、逻辑思维能力和沟通协调能力，工作细致认真，责任心强，能够承受工作压力，适应加班及出差。 4. 拥有相关专业背景或持有招投标相关资格证书者优先考虑。 5.服从领导安排的临时性工作。
</t>
  </si>
  <si>
    <t>贵阳弗迪电池有限公司</t>
  </si>
  <si>
    <t>其他行业</t>
  </si>
  <si>
    <t>电工</t>
  </si>
  <si>
    <t>电气自动化，机电一体化，机械制造等机电专业</t>
  </si>
  <si>
    <t>大专及以下</t>
  </si>
  <si>
    <t>身心健康，持有低压电工证，具有自动化电气电路设备维修经验2年以上，接受长期出差</t>
  </si>
  <si>
    <t>贵阳（需接受长期出差）</t>
  </si>
  <si>
    <t>机修工</t>
  </si>
  <si>
    <t>身心健康，具有自动化设备维修经验2年以上，接受长期出差</t>
  </si>
  <si>
    <t>学徒工</t>
  </si>
  <si>
    <t>贵州东汇精密机电有限公司</t>
  </si>
  <si>
    <t>走心机操作员</t>
  </si>
  <si>
    <t>机械制造、数控技术</t>
  </si>
  <si>
    <t>大学本科</t>
  </si>
  <si>
    <t>愿意学习、积极阳光、主动性强，能吃苦</t>
  </si>
  <si>
    <t>CNC技术员</t>
  </si>
  <si>
    <t>1、机械制造相关专业，3年以上经验，中专及以上学历
2、熟悉三菱、法兰克操作系统、能独立操机调机；
3、熟悉3/4/5轴加工，熟悉加工刀具、夹具、制具的调试及安装，熟悉CNC调试及检测；
4、了解CNC刀具加工特性，参数值；
5、熟悉CNC加工经验，能看懂三视图，会3D软件。</t>
  </si>
  <si>
    <t>工艺</t>
  </si>
  <si>
    <t xml:space="preserve">1. 工艺设计与优化：工艺流程编制、工艺文件制定（SOP/SIP）、工艺参数调试、生产效率提升、成本控制
2. 材料与设备：金属材料加工、CNC编程、注塑工艺、冲压工艺、工装夹具设计
3. 质量与合规：ISO 9001质量管理体系、工艺质量改进、FMEA失效模式分析、SPC统计过程控制
</t>
  </si>
  <si>
    <t>编程</t>
  </si>
  <si>
    <t xml:space="preserve">
1、大专及以上学历，机械制造与设计、模具设计等相关专业，三年以上精密机加件编程经验；熟悉常用机加材料的特性及加工参数，并对表面处理工序有一定的认知。
2、熟练掌握常用机加编程出图软件，必备技能。
3、具备良好的沟通能力和团队协作能力；
4、工作认真、负责，有较强的学习能力和团队合作精神。
</t>
  </si>
  <si>
    <t>橙树无人机科技（贵州）有限公司</t>
  </si>
  <si>
    <t>教育科技</t>
  </si>
  <si>
    <t>教练助理</t>
  </si>
  <si>
    <t>热爱无人机行业、做事认真、有上进心。</t>
  </si>
  <si>
    <t>教务老师</t>
  </si>
  <si>
    <t>热爱无人机行业、熟悉电脑、学习能力好。</t>
  </si>
  <si>
    <t>贵州正启人力资源服务有限公司</t>
  </si>
  <si>
    <t>人事专员</t>
  </si>
  <si>
    <t>熟悉电脑、想在人力资源行业发展。</t>
  </si>
  <si>
    <t>实习生</t>
  </si>
  <si>
    <t>——</t>
  </si>
  <si>
    <t>贵州安达科技能源股份有限公司</t>
  </si>
  <si>
    <t>新能源</t>
  </si>
  <si>
    <t>网络工程师</t>
  </si>
  <si>
    <t>计算机、网路工程、通讯相关专业</t>
  </si>
  <si>
    <r>
      <rPr>
        <sz val="10"/>
        <rFont val="宋体"/>
        <charset val="134"/>
      </rPr>
      <t>1、2026届毕业生
2、掌握TCP/IP协议族、路由与交换技术（如OSPF、BGP）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 等核心网络原理；
3、熟悉主流网络设备（如路由器、交换机、防火墙）的配置与管理。运维与排障：具备网络维护、故障排查的能力，并能使用常见的网络测试和分析工具；
4、对云计算网络（如VPC、SD-WAN、SDN）或网络安全技术有基本了解者更佳。</t>
    </r>
  </si>
  <si>
    <t>贵阳市开阳县</t>
  </si>
  <si>
    <t>代招展位1</t>
  </si>
  <si>
    <t>信息化工程师</t>
  </si>
  <si>
    <t>信息管理、计算机类专业</t>
  </si>
  <si>
    <t>1、2026届毕业生优先
2、扎实掌握信息资源管理、数据库原理、计算机网络、系统分析与设计等核心课程知识；
3、熟悉主流企业信息系统（如ERP、OA）的基本概念；
4、熟悉企业管理业务流程以及财务基础知识；
5、具备较强的逻辑思维和分析能力，能独立解决技术问题；
6、良好的沟通表达能力，能够与业务部门和技术团队有效协作；
7、具备快速学习新知识、适应新技术和业务变化的能力。</t>
  </si>
  <si>
    <t>自动化工程师</t>
  </si>
  <si>
    <t>电气\自动化相关专业</t>
  </si>
  <si>
    <t>1、2026届毕业生优先
2、熟悉电机拖动、控制原理、PLC、单片机，仪器/仪表相关课程；
3、熟悉高低压电气控制原理，熟悉变频器、仪器仪表调试和维护；
4、有良好的语言组织以及表达能力；
5、具备异常情况的应变及处理能力。</t>
  </si>
  <si>
    <t>研发助理工程师</t>
  </si>
  <si>
    <t>化学、化工、材料相关专业</t>
  </si>
  <si>
    <t>硕士研究生</t>
  </si>
  <si>
    <t>1、2026届毕业生
2、熟悉包括XRD、ICP、SEM等相关材料表征方法，熟悉化工相关反应方法、原理；
3、掌握ms或matlab等仿真软件；
4、有较强的专业能力，有较强的专业知识储备；
5、熟悉测试设备与电池制作流程设备，有较强的数据分析能力以及学习能力；
6、有较强的团队协作以及沟通能力；
7、认真、态度良好，细心耐心，抗压能力强。</t>
  </si>
  <si>
    <t>IE工程师</t>
  </si>
  <si>
    <t>标准化工程专业、工业工程专业相关专业</t>
  </si>
  <si>
    <t>1、2026届毕业生；
2、 熟练掌握IE和精益生产的理论知识，能够熟练使用办公软件；
3、能够吃苦耐劳，适应生产环境。</t>
  </si>
  <si>
    <t>工艺工程师</t>
  </si>
  <si>
    <t>化学、化工、材料等相关专业</t>
  </si>
  <si>
    <t>1、2026届毕业生；
2、具备电化学，物理化学，无机化学基础；有电池或材料合成等科研经历优先；
3、不挂科，熟练使用AutoCAD、Office，良好的沟通能力与协作精神。</t>
  </si>
  <si>
    <t>机械工程师</t>
  </si>
  <si>
    <t>机械相关专业</t>
  </si>
  <si>
    <t>1、2026届毕业生；
2、有一定机械专业理论知识，熟悉运用使用CAD/solidworks/Mintab及数据处理分析能力，愿意深入一线学习现场技术。</t>
  </si>
  <si>
    <t>品质工程师</t>
  </si>
  <si>
    <t>1、2026届毕业生
2、具有较强的动手和学习能力，熟练使用QC统计工具及8D分析报告整理；
3、熟练使用office操作等办公软件；和文档管理系统，具备实际操作经验；
4、具有较强的沟通、协调、问题解决能力和团队合作精神；
5、具备一定的项目管理和组织协调能力，能够推动文档管理相关项目的顺利实施。</t>
  </si>
  <si>
    <t>生产助理工程师</t>
  </si>
  <si>
    <t>化学、IE、化工、材料相关专业</t>
  </si>
  <si>
    <t>1、2026届毕业生；
2、掌握一些简单的工艺流程知识和识图知识；
3、了解一定的化工机械及设备内容，熟悉化工生产安全方面的知识；
4、熟练使用Minitab、Excel等数据分析工具，掌握统计学基本原理，能运用统计原（SPC等）进行数据分析；
5、有良好的语言组织以及表达能力；
6、具备异常情况的应变及处理能力。</t>
  </si>
  <si>
    <t>安全工程师</t>
  </si>
  <si>
    <t>安全工程专业</t>
  </si>
  <si>
    <t>1、2026届毕业生
2、掌握环境工程基础理论，熟悉化工/新能源行业 “三废” 处理工艺；
3、能使用 CAD或其他绘图工具 绘制环保流程图，可协助编制环评、验收报告；
4、熟悉环保法规，具备基础数据分析与隐患排查能力；
5、了解环保设备运维原理，可配合故障排查。</t>
  </si>
  <si>
    <t>环境工程师</t>
  </si>
  <si>
    <t>环境工程专业</t>
  </si>
  <si>
    <t>1、2026届毕业生
2、掌握化工原理、反应工程等基础理论，熟悉磷酸铁锂生产相关工艺；
3、能使用 CAD 绘制工艺流程图，具备基础的工艺模拟与数据分析能力；
4、熟悉化工安全与环保法规，能识别生产过程中的安全与环保风险；
5、了解化工设备基本原理，可配合开展设备日常运维与故障排查。</t>
  </si>
  <si>
    <t>贵州甲秀科技有限公司</t>
  </si>
  <si>
    <t>工艺技术员（工程师）</t>
  </si>
  <si>
    <t>化工（涂料相关专业优先）</t>
  </si>
  <si>
    <t>从一线涂料生产员工做起培养</t>
  </si>
  <si>
    <t>代招展位2</t>
  </si>
  <si>
    <t>中伟新材料股份有限公司</t>
  </si>
  <si>
    <t>民营上市企业</t>
  </si>
  <si>
    <t>机械制作</t>
  </si>
  <si>
    <t>设备管培生</t>
  </si>
  <si>
    <t>机械、设备、自动化、电气</t>
  </si>
  <si>
    <t>本科及以上</t>
  </si>
  <si>
    <t xml:space="preserve">有意向长期在制造业设备开发、设备维保、设备管理方向长期发展，能熟练应用设备相关设计制图软件，对基础设备构造、原理等有一定的专业理论知识积累，具备优秀的沟通表达及组织协调能力。
</t>
  </si>
  <si>
    <t>贵州省开阳县</t>
  </si>
  <si>
    <t>代招展位3</t>
  </si>
  <si>
    <t>生产管培生</t>
  </si>
  <si>
    <t>化工、化学、材料、冶金、机械设备、工业工程</t>
  </si>
  <si>
    <t xml:space="preserve">有意向长期在新能源材料行业生产管理方向发展，前期能接受到基层一线岗位学习锻炼（短期需要倒班），具备优秀的沟通表达及组织协调能力。
</t>
  </si>
  <si>
    <t>质量管培生</t>
  </si>
  <si>
    <t>质量管理、化工、化学、材料、冶金、机械设备、工业工程</t>
  </si>
  <si>
    <t xml:space="preserve">有意向长期在新能源材料行业质量管理方向发展，前期能接受到基层一线岗位学习锻炼（短期需要倒班），对质量管理有一定基础的了解和认识，具备优秀的沟通表达及组织协调能力。
</t>
  </si>
  <si>
    <t>贵州开阳双阳磷矿有限公司</t>
  </si>
  <si>
    <t>化工类</t>
  </si>
  <si>
    <t>生产技术管培生（采矿）</t>
  </si>
  <si>
    <t>采矿工程等相关专业</t>
  </si>
  <si>
    <t>本科及以上，硕士研究生优先考虑</t>
  </si>
  <si>
    <t>有同行业或同岗位实习经历者优先考虑</t>
  </si>
  <si>
    <t>贵州省贵阳市开阳县</t>
  </si>
  <si>
    <t>代招展位4</t>
  </si>
  <si>
    <t>生产技术管培生（测量）</t>
  </si>
  <si>
    <t>测绘工程等相关专业</t>
  </si>
  <si>
    <t>生产技术管培生（地质）</t>
  </si>
  <si>
    <t>地质学等相关专业</t>
  </si>
  <si>
    <t>生产技术管培生（通风）</t>
  </si>
  <si>
    <t>矿物资源工程（矿山通风方向）、安全工程（矿山安全方向）、通风工程、采矿工程等相关专业</t>
  </si>
  <si>
    <t>生产技术管培生（安全）</t>
  </si>
  <si>
    <t>化工安全工程、安全工程、应急技术与管理、安全技术与管理等相关专业</t>
  </si>
  <si>
    <t>生产技术管培生（设备）</t>
  </si>
  <si>
    <t>机械工程、机械设计制造及其自动化、机械电子工程、过程装备与控制工程、矿山机电技术、机电一体化技术等相关专业</t>
  </si>
  <si>
    <t>采销类</t>
  </si>
  <si>
    <t>供应链管理、物流管理、采购与供应管理、商业管理、国际贸易、经济学类、管理学类等相关专业</t>
  </si>
  <si>
    <t>贵州中合磷化有限公司</t>
  </si>
  <si>
    <t>生产技术管培生（化工）</t>
  </si>
  <si>
    <t>化学工程与工艺等相关专业</t>
  </si>
  <si>
    <t>生产技术管培生（电气）</t>
  </si>
  <si>
    <t>电气工程及其自动化、电气工程与智能控制 、自动化、电子信息工程等相关专业</t>
  </si>
  <si>
    <t>机械工程、机械设计制造及其自动化、机械电子工程、过程装备与控制工程、机电一体化技术等相关专业</t>
  </si>
  <si>
    <t>生产技术管培生（仪表）</t>
  </si>
  <si>
    <t>测控技术与仪器、自动化等相关专业</t>
  </si>
  <si>
    <t>生产技术管培生（分析）</t>
  </si>
  <si>
    <t>工业分析技术、应用化工技术、分析检验技术、精细化工技术、化学工程与工艺</t>
  </si>
  <si>
    <t>生产技术管培生（安全环保）</t>
  </si>
  <si>
    <t>化工安全工程、安全工程、环保工程、应急技术与管理、安全技术与管理等相关专业</t>
  </si>
  <si>
    <t>贵州中合磷碳科技有限公司</t>
  </si>
  <si>
    <t>贵州智博汇人才服务有限公司</t>
  </si>
  <si>
    <t>服务业</t>
  </si>
  <si>
    <t>营销专员</t>
  </si>
  <si>
    <t>大专及以上</t>
  </si>
  <si>
    <t>1、性格活泼开朗
2、擅长与人沟通交流
3、懂服务与营销</t>
  </si>
  <si>
    <t>清镇职教城</t>
  </si>
  <si>
    <t>运营专员</t>
  </si>
  <si>
    <t>贵州云捷通信息科技有限公司</t>
  </si>
  <si>
    <t>私营企业</t>
  </si>
  <si>
    <t>信息科技</t>
  </si>
  <si>
    <t>采购员</t>
  </si>
  <si>
    <t>大专以上学历</t>
  </si>
  <si>
    <t>熟悉电脑，常用办公软件以及电子商务相关内容，能按时完成业务指标考核。</t>
  </si>
  <si>
    <t>贵阳市白云区</t>
  </si>
  <si>
    <t>贵阳云汐全案装饰有限公司</t>
  </si>
  <si>
    <t>房产装修</t>
  </si>
  <si>
    <t>销售</t>
  </si>
  <si>
    <t>建筑类</t>
  </si>
  <si>
    <t>清镇市中铁云湾</t>
  </si>
  <si>
    <t>贵州广铝氧化铝有限公司</t>
  </si>
  <si>
    <t>制造业</t>
  </si>
  <si>
    <t>设备处-巡检员（设备管理员储备干部）</t>
  </si>
  <si>
    <t>冶金、化工专业、材料学、机械类等工科类</t>
  </si>
  <si>
    <t>具备较强的工作责任心和沟通协调能力、对数据敏感性高</t>
  </si>
  <si>
    <t>贵州省贵阳市清镇市站街镇站南路36号</t>
  </si>
  <si>
    <t>生产储备干部-热电、原料、原矿、沉降、分解、赤泥、溶出、金属镓</t>
  </si>
  <si>
    <t>机械、机电、化工、热动、锅炉、发电厂集控等相关专业</t>
  </si>
  <si>
    <t>持有锅炉司炉证优先</t>
  </si>
  <si>
    <t>生产储备干部-取样、制样</t>
  </si>
  <si>
    <t>吃苦耐劳</t>
  </si>
  <si>
    <t>储备干部-测量技术员（矿山）</t>
  </si>
  <si>
    <t>测量、测绘专业</t>
  </si>
  <si>
    <t>能够熟练运用cad等绘图软件</t>
  </si>
  <si>
    <t>储备干部-机电技术员（矿山）</t>
  </si>
  <si>
    <t>机电一体化、机械工程等相关专业</t>
  </si>
  <si>
    <t>能够熟练掌握cad等绘图软件</t>
  </si>
  <si>
    <t>储备干部-调度员（矿山）</t>
  </si>
  <si>
    <t>地质、采矿工程、机电一体化、机械化、安全工程、测量、测绘专业</t>
  </si>
  <si>
    <t>矿山相关专业能力，良好的沟通协调能力，有现场指挥、协调、解决问题的能力</t>
  </si>
  <si>
    <t>贵州库课教育科技有限公司</t>
  </si>
  <si>
    <t>课程顾问</t>
  </si>
  <si>
    <t>校学生会或学生干部优先</t>
  </si>
  <si>
    <t>清镇市滨湖街道职教路2号</t>
  </si>
  <si>
    <t>学管老师</t>
  </si>
  <si>
    <t>贵州尚医堂医药科技有限公司</t>
  </si>
  <si>
    <t>医疗卫生</t>
  </si>
  <si>
    <t>医药电话销售</t>
  </si>
  <si>
    <t>医药学相关</t>
  </si>
  <si>
    <t>贵州省贵阳市贵州双龙航空港经济区</t>
  </si>
  <si>
    <t>验收员</t>
  </si>
  <si>
    <t>中药学</t>
  </si>
  <si>
    <t>贵州中瑞丰泰新能源科技有限公司</t>
  </si>
  <si>
    <t>人事行政经理</t>
  </si>
  <si>
    <t>人力资源、行政管理、工商管理等相关专业优先</t>
  </si>
  <si>
    <t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t>
  </si>
  <si>
    <t>贵州壹集科技有限公司</t>
  </si>
  <si>
    <t>数据采集专员</t>
  </si>
  <si>
    <t>贵州省贵阳市贵州双龙航空港经济区龙洞堡街道“经典天成”住宅小区日1号楼1单元8层1号</t>
  </si>
  <si>
    <t>剪辑专员</t>
  </si>
  <si>
    <t>AI漫专员</t>
  </si>
  <si>
    <t>平台运营专员</t>
  </si>
  <si>
    <t>贵州戴玛科技有限公司</t>
  </si>
  <si>
    <t>企业培训专员</t>
  </si>
  <si>
    <t>专业不限</t>
  </si>
  <si>
    <t>贵阳市南明区见龙洞路103号</t>
  </si>
  <si>
    <t>基本工资、五险一金、双休、项目奖金、提成、年终奖金、带薪年假</t>
  </si>
  <si>
    <t>软件售前工程师</t>
  </si>
  <si>
    <t>计算机相关专业优先</t>
  </si>
  <si>
    <t>教育行业售前工程师</t>
  </si>
  <si>
    <t>计算机科学与技术、软件工程、通信等相关专业</t>
  </si>
  <si>
    <t>数字化软件客户经理</t>
  </si>
  <si>
    <t>美工设计/视觉设计</t>
  </si>
  <si>
    <t>美术或平面设计相关专业</t>
  </si>
  <si>
    <t>电商运营 抖音总监 运营总监</t>
  </si>
  <si>
    <t>市场营销、工商管理、新媒体运营等经管类专业</t>
  </si>
  <si>
    <t>电商带货主播</t>
  </si>
  <si>
    <t>视频拍剪师</t>
  </si>
  <si>
    <t>电商运营经理</t>
  </si>
  <si>
    <t>人事行政实习生</t>
  </si>
  <si>
    <t>专业不限，人力资源管理、心理学等相关专业优先考虑</t>
  </si>
  <si>
    <t>政策研究实习生</t>
  </si>
  <si>
    <t>售前技术实习生</t>
  </si>
  <si>
    <t>计算机科学与技术、软件工程、大数据等相关专业</t>
  </si>
  <si>
    <t>软件开发实习生</t>
  </si>
  <si>
    <t>UI实习生</t>
  </si>
  <si>
    <t>视觉设计、平面设计、UI/UX设计、数字媒体艺术等相关专业优先</t>
  </si>
  <si>
    <t>实施实习生</t>
  </si>
  <si>
    <t>计算机科学与技术、软件工程、信息管理、电子信息等相关专业</t>
  </si>
  <si>
    <t>客户经理实习生</t>
  </si>
  <si>
    <t>财务实习生</t>
  </si>
  <si>
    <t>会计学或财务管理相关专业</t>
  </si>
  <si>
    <t>新媒体推广实习</t>
  </si>
  <si>
    <t>贵州农促促互联网有限责任公司</t>
  </si>
  <si>
    <t>市场部助理</t>
  </si>
  <si>
    <t>市场调研与分析、品牌建设与管理、品牌故事定位和形象、营销策划与宣传物料制作.</t>
  </si>
  <si>
    <t>贵阳市区域内</t>
  </si>
  <si>
    <t>教务部助理</t>
  </si>
  <si>
    <t>整合资源、优化营销策略、策划适合平台上商家？短视频的产品故事、质量解说、商品形象、拍摄技巧、包装技能，产品上架、商品溯源规范、生产企业营销策略，商户采购上架等视频教案、现场培训等，给生产商和商铺指导学习。</t>
  </si>
  <si>
    <t>大区经理助理</t>
  </si>
  <si>
    <t>市场拓展与客户维护/团队协作精神/思维有上进/爱学习/公司日常行政事务处理等。</t>
  </si>
  <si>
    <t>区域经理</t>
  </si>
  <si>
    <t>区域内日常运营管理，建立合作伙伴、通过定期沟通、协调市场、产品、供应链等部门资源整合。</t>
  </si>
  <si>
    <t>业务员</t>
  </si>
  <si>
    <t>采用互联网、地推、渠道等多种方式邀请！目标生产方与销售商铺入住“农促促”电商平台。</t>
  </si>
  <si>
    <t>新华人寿保险股份有限公司</t>
  </si>
  <si>
    <t>国有企业</t>
  </si>
  <si>
    <t>WLP全生命周期规划师</t>
  </si>
  <si>
    <t>经济学、金融学</t>
  </si>
  <si>
    <t>为客户提供全生命周期的健康财务规划</t>
  </si>
  <si>
    <t>贵州木易精细陶瓷有限责任公司</t>
  </si>
  <si>
    <t>新型工业化</t>
  </si>
  <si>
    <t>磨工</t>
  </si>
  <si>
    <t>机械</t>
  </si>
  <si>
    <t>踏实肯学服从安排</t>
  </si>
  <si>
    <t>贵阳市修文县扎佐镇</t>
  </si>
  <si>
    <t>贵阳恒聚领航科技有限责任公司</t>
  </si>
  <si>
    <t>数控车工</t>
  </si>
  <si>
    <t>机械设计制造与其及自动化</t>
  </si>
  <si>
    <t>1. 具备扎实的数控车床操作技能，熟悉机加工工艺。
2. 能看懂机械图纸，熟练使用卡尺、千分尺等量具。
3. 有较强的责任心、质量意识和团队协作精神。</t>
  </si>
  <si>
    <t>贵阳市修文县久长工业园</t>
  </si>
  <si>
    <t>质检员</t>
  </si>
  <si>
    <t>1. 有机械加工行业质检经验，熟悉机加工件检验标准。
2. 能看懂机械图纸，熟练使用卡尺、千分尺、百分表等量具。
3. 具备较强的质量分析与问题解决能力，能快速定位质量问题。
4. 了解质量管理相关法规与标准，会使用基础的质量工具优先。
5. 沟通协调能力强，能与生产、技术团队高效协作。</t>
  </si>
  <si>
    <t>贵州祥恒包装有限公司</t>
  </si>
  <si>
    <t>印刷机长</t>
  </si>
  <si>
    <t>中专及以上</t>
  </si>
  <si>
    <t>具有同行业同岗位一年以上工作经验。</t>
  </si>
  <si>
    <t>贵阳综保区</t>
  </si>
  <si>
    <t>储备机长</t>
  </si>
  <si>
    <t>设备机械类</t>
  </si>
  <si>
    <t>身体健康、吃苦耐劳，愿意学习，经验不限。</t>
  </si>
  <si>
    <t>车间主管</t>
  </si>
  <si>
    <t>大型制造业3年以上生产管理工作经验，具有同行业同岗位一年以上工作经验。</t>
  </si>
  <si>
    <t>贵州鼎成熔鑫科技有限公司</t>
  </si>
  <si>
    <t>数控车床/加工中心操作工</t>
  </si>
  <si>
    <t>1.会识机械制图；
2.会识量具：如游标卡尺、千分尺、内径表；
3.熟悉FANUC(法兰克）三棱系统、新代系统；
4.会对刀、刀具磨损补偿；
5.会打表、分中，拉直工装。</t>
  </si>
  <si>
    <t>工艺员</t>
  </si>
  <si>
    <t>机械制造及其自动化</t>
  </si>
  <si>
    <t>岗位要求：                                                                                                                                                                                    1.做好公司各项保密工作；
2.新品客户图纸转换和工艺规程制作、技术沟通；
3.转批品工艺的优化和修改，如：重要工序刀具寿命填写和热处理补偿修改；
4.控制计划、失效分析模式等PPAP工艺文件编制；
5.检验气泡图制作，生产车间产线布局图制作；
6.外购工装图审核，自制工装的设计、绘图。外协技术文件的编制、收发；
7.产品质量评审和返工返修方案填写；
8.各类物资采购的技术协议和技术要求编制；
9.工艺纪律检查、记录，文件变更点检，工艺文件的编制、收发、管理。
技能要求：
1.熟悉公司产品及工艺流程；
2.从事过机械加工工艺规程编写工作；
3.熟悉机械加工、工装基础知识；
4.掌握制图软件和办公软件；
5.熟悉数控编程，机床调试； 
6.掌握常规检具使用，仪器检测原理；
7.对机械加工设备及工装有较全面了解；
8.对热处理工艺基础知识有一定的了解。</t>
  </si>
  <si>
    <t>贵州凯朗德电力科技有限公司</t>
  </si>
  <si>
    <t>跨境电商实习生</t>
  </si>
  <si>
    <t>国际经济与贸易、电子商务、商务英语、市场营销、跨境电子商务、外语类相关专业</t>
  </si>
  <si>
    <t>1.大专及以上学历，对跨境电商行业有兴趣，愿意主动学习优先；
2.熟悉亚马逊、TikTok、Shopee、速卖通等任一平台规则；
3.具备基础英语读写能力，会简单文案编辑与产品上架；
4.工作细心负责，学习能力强，能配合团队完成日常运营，能保证稳定实习时长，服从工作安排；
5.熟练使用 Office，会基础图片处理、短视频剪辑更佳</t>
  </si>
  <si>
    <t>电力运维技术员实习生</t>
  </si>
  <si>
    <t>电力系统自动化技术、电气自动化技术、机电、电气工程及其自动化等相关专业</t>
  </si>
  <si>
    <t>1.大专及以上学历，热爱电力行业，愿意从基础学起，能保证稳定实习时长，服从工作安排；
2.了解基本电路知识，能看懂简单电气图纸，动手能力强；
3.工作认真负责，吃苦耐劳，服从现场安排，有安全意识；
4.具备良好的沟通协作能力，学习主动性强；
5.能接受外勤、现场巡检及简单设备维护工作。</t>
  </si>
  <si>
    <t>出纳实习生</t>
  </si>
  <si>
    <t>会计学、财务管理、审计学、税务、金融学、经济学等相关财经类专业</t>
  </si>
  <si>
    <t>1.工作细致严谨，责任心强，有良好的职业道德与保密意识；
2.熟悉基础财务知识，能熟练使用 Office 办公软件，会使用财务软件优先；
3.沟通良好，做事踏实稳重，学习能力强，服从工作安排；
4.能保证稳定实习时间，态度积极认真</t>
  </si>
  <si>
    <t>品宣实习生</t>
  </si>
  <si>
    <t>广告学、新闻学、传播学、汉语言文学、网络与新媒体、市场营销等相关专业</t>
  </si>
  <si>
    <t>1.对品牌宣传、新媒体运营有浓厚兴趣，学习能力强，态度积极主动；
2.具备基础文案撰写能力，可协助完成公众号、朋友圈等日常内容编辑；
3.做事细心负责，有良好审美，沟通协作意识强；
4.熟练使用 Office，会简单图片处理、短视频剪辑者优先；
5.能保证稳定实习时长，服从工作安排。</t>
  </si>
  <si>
    <t>产品、运维、工程（电力方面）销售</t>
  </si>
  <si>
    <r>
      <rPr>
        <sz val="10"/>
        <rFont val="宋体"/>
        <charset val="134"/>
      </rPr>
      <t>市场营销、电子商务、电气工程、机电一体化等相关专业、</t>
    </r>
    <r>
      <rPr>
        <b/>
        <sz val="10"/>
        <rFont val="宋体"/>
        <charset val="134"/>
      </rPr>
      <t>可接受无相关经验</t>
    </r>
  </si>
  <si>
    <t>1.热爱销售工作，沟通表达清晰，抗压能力强，有开拓市场意识；
2.了解基本电力产品、电力工程或运维服务常识，愿意学习行业知识；
3.具备商务谈判、客户维护及项目跟进能力，执行力强；
4.工作积极主动，责任心强，能接受出差及外勤工作；
5.有电力行业资源、招投标经验或客户渠道者优先，接受实习生。</t>
  </si>
  <si>
    <t>贵州万辉国际贸易有限公司</t>
  </si>
  <si>
    <t>农产品生产加工</t>
  </si>
  <si>
    <t>会计</t>
  </si>
  <si>
    <t xml:space="preserve">财务管理、会计专业毕业，持中级会计师职称
</t>
  </si>
  <si>
    <t>大专及以上学历</t>
  </si>
  <si>
    <t>1.持中级会计师职称
2.具有5年以上会计工作经历，逻辑思维清晰，有农业企业或进出口企业工作经验者优先考虑；
3.熟悉企业财务制度及会计准则，能独立处理全盘账务。</t>
  </si>
  <si>
    <t>产线组长</t>
  </si>
  <si>
    <t>机电、机械、电子、管理类相关专业</t>
  </si>
  <si>
    <t>中专及以上学历</t>
  </si>
  <si>
    <t>1.身体健康，无不良嗜好，能适应车间工作环境，无违法违纪记录，稳定性强；
2.具备2年及以上生产现场管理经验，有流水线/组装/制造行业组长工作经验优先；
3.熟悉基本生产流程、5S、质量管控、安全操作规范。</t>
  </si>
  <si>
    <t>仓储物流专员</t>
  </si>
  <si>
    <t>仓储物流相关专业</t>
  </si>
  <si>
    <t>1.需要具备良好的沟通、组织、协调能力，有高度的自律性和团队协作精神；
2.需吃苦耐劳，能适应倒班制，有在生产制造领域长期发展的志向。</t>
  </si>
  <si>
    <t>总经理助理</t>
  </si>
  <si>
    <t>国际贸易、商务英语、外语、市场营销等相关专业优先</t>
  </si>
  <si>
    <t>本科及以上学历</t>
  </si>
  <si>
    <t>1.英语六级，听、说、读、写流利，可独立商务沟通与函电起草，对接外宾；
2.具备3-5年外贸/总经理助理相关经验；
3.熟悉进出口全流程与国际贸易规则。</t>
  </si>
  <si>
    <t>贵州航瑞科技有限公司</t>
  </si>
  <si>
    <t>航空航天及装备制造</t>
  </si>
  <si>
    <t>技术项目负责人</t>
  </si>
  <si>
    <t>机械设计/机械制造</t>
  </si>
  <si>
    <t>掌握新产品设计开发流程、熟练使用主流二维/三维制图以及仿真软件，具备一定机加工艺编制能力。</t>
  </si>
  <si>
    <t>数车操作人员</t>
  </si>
  <si>
    <t>机械制造、数控技术、机电一体化等相关专业优先</t>
  </si>
  <si>
    <t>中专 / 中技 / 高中及以上</t>
  </si>
  <si>
    <t>基本条件：
1.年龄：18–45 周岁，身体健康，无色盲 / 色弱，能适应倒班、加班；
2.持有数控车工职业资格证（中级及以上） 或特种作业操作证者优先；
经验要求（按岗位层级）：
1.普通操作工：1–3 年数控车床独立操作经验；
2.熟练 / 调机工：3–5 年经验，能独立编程、调试、处理复杂工艺问题；
3.优先加分：有精密零件、医疗器械、模具、轴类 / 管类加工经验；熟悉车铣复合、走芯机者优先。
核心技能要求：
1.识图与工艺：能熟练阅读机械图纸（三视图、剖视图、局部放大图），理解尺寸公差、形位公差、表面粗糙度、技术要求。熟悉数控车削加工工艺：切削参数选择、加工顺序、工装夹具使用、刀具路径规划。了解常用金属材料（钢、铝、铜、不锈钢等）特性与热处理常识；
2.数控系统与编程：熟练操作至少1种主流系统：FANUC、SIEMENS、广数 GSK、华中、三菱、新代、Mazak 等；
能手工编写 / 修改 G/M 代码，进行程序调试、对刀、参数设置；会 Mastercam、UG/CAM 编程者优先。
能独立完成首件调试、批量加工、异常处理；
3.刀具与量具：合理选择、安装、修磨车刀（外圆、内孔、螺纹、切断、成型刀等），熟悉刀片材质与涂层应用。熟练使用常用量具：游标卡尺、千分尺、内径百分表、深度尺、高度尺、R 规、螺纹规、投影仪等。能按要求完成首件检验、过程自检、成品检验，并记录数据。
设备与安全：
1.掌握数控车床日常维护保养：清洁、润滑、点检、易损件更换，能排查简单故障（报警、断刀、尺寸漂移）。
严格遵守安全操作规程，熟悉设备急停、防护、防火、用电安全，杜绝违章操作；
2.执行5S/6S 现场管理，保持工位整洁、物料有序。
职业素养：
1.责任心强、严谨细致，重视质量与效率，能按时完成生产任务；
3.服从管理、执行力强，具备团队协作与沟通能力。吃苦耐劳，适应两班倒 / 三班倒、加班，抗压能力好；
4.学习能力强，愿意接受新工艺、新设备培训。</t>
  </si>
  <si>
    <t>加工中心</t>
  </si>
  <si>
    <t>中专、技校、高中及以上</t>
  </si>
  <si>
    <t xml:space="preserve">基本要求：
1.具有1年以上立式 / 卧式加工中心独立操作经验，熟练工可放宽至半年以上；
2.身体健康，无色盲色弱，能适应站立作业、加班及倒班。；
3.持有数控铣 / 加工中心职业资格证者优先。
技能要求：
1.识图能力：能熟练看懂机械图纸，掌握尺寸公差、形位公差、粗糙度、基准等要求；
2.编程与操作：熟练操作 FANUC、三菱、西门子、华中、广数等至少一种数控系统；
3.能手工编写、修改、调试程序，会简单刀路优化，会使用 UG、Mastercam、Powermill 等软件编程者优先；
工艺与工装：
1.熟悉铣削加工工艺，能合理选择切削参数、刀具、夹具；
能独立完成装夹、找正、对刀、分中、打表、试切等工作；
2.量具使用与质量控制：熟练使用卡尺、千分尺、深度尺、百分表、高度尺、二次元、螺纹规等量具；
3.能完成首件检验、过程自检，控制尺寸精度，做好质量记录。
设备维护：
1.熟悉加工中心日常保养、点检、润滑、清洁；
2.能识别常见报警，处理简单故障，保证设备正常运行。
工作素养：
1.工作认真负责，注重质量与效率，服从生产安排；
2.遵守安全操作规程，杜绝违章操作，重视安全生产，执行力强，有团队意识，能按时完成生产任务。
3.习惯保持现场5S管理，物料摆放规范。学习能力强，能接受新产品、新工艺培训。
优先条件：
1.有精密零件、模具、汽车零部件、自动化设备配件加工经验者优先；
2.熟悉四轴、五轴加工中心者优先；
3.懂简单磨刀、刀具管理、批量生产管控者优先；
了解 ISO9001、IATF16949 质量体系者优先。
</t>
  </si>
  <si>
    <t>五轴加工中心</t>
  </si>
  <si>
    <t>机械、数控相关专业优先</t>
  </si>
  <si>
    <t>中专、技校、大专及以上</t>
  </si>
  <si>
    <t>基本条件：
1.具有3年以上五轴加工中心独立操作经验；有三轴转五轴经验者可适当放宽；
2.身体健康，无色盲色弱，能适应站立作业、加班及倒班；
3.持有加工中心 / 数控铣高级工、技师证者优先。
核心技能要求：
1.识图与工艺：能熟练看懂复杂机械图纸、3D 模型图，掌握尺寸公差、形位公差、粗糙度、基准等要求；
2.熟悉五轴加工工艺：能合理规划刀路、装夹方式、切削参数，控制变形与精度；
3.设备操作：熟练操作SIEMENS、FANUC、HEIDENHAIN等至少一种五轴系统；
4.熟练完成工件装夹、打表、分中、对刀、坐标系设定、刀尖半径补偿、RTCP 功能使用；
5.编程与软件：熟练使用 UG、Mastercam、PowerMill、HyperMill 等至少一种五轴编程软件；
6.能独立完成刀路编制、后处理、程序仿真、碰撞干涉检查、程序优化。
7.精度控制与量具：熟练使用卡尺、千分尺、百分表、高度规、二次元、三次元、粗糙度仪等精密量具。能完成首件检测、过程自检、尺寸修正，保证复杂曲面、轮廓、孔位精度；
8.刀具与工装：合理选用铣刀、刀柄、工装夹具，熟悉刀具寿命管理、刀具补偿设置。能处理震刀、过切、刮伤、尺寸漂移等常见问题；
9.设备维护：熟悉五轴机床日常保养、点检、润滑、清洁，能识别常见报警，处理简单故障，保障设备稳定运行。
职业素养：
1.工作严谨细致，责任心强，重视质量与精度；
2.严格遵守安全操作规程，杜绝违章操作；
3.服从管理，执行力强，具备良好团队协作能力；
4.保持工位整洁，执行 5S/6S 管理要求，学习能力强，能适应复杂零件、新品试制、小批量高精加工。
优先条件：
1.有航空航天、模具、医疗器械、汽车零部件、叶轮叶片等五轴加工经验优先；
2.熟悉摆头五轴、双转台五轴结构与工艺优先；
3.能独立完成复杂曲面编程、调试、优化者优先；
4.了解 IATF16949、ISO9001 质量体系者优先。</t>
  </si>
  <si>
    <t>机械设计制造、数控技术、机电一体化等相关专业。</t>
  </si>
  <si>
    <t>基本条件：
1.具有年以上机械加工工艺编制经验，熟悉车、铣、钻、磨、加工中心、电加工等常规工艺；
2.有工艺员相关培训证书、机械工程师职称、CAD / 三维软件认证者优先。
专业技能要求：
1.图纸与技术理解：能熟练识读复杂零件图、装配图，准确理解尺寸公差、形位公差、粗糙度、材料及热处理要求，能对图纸工艺性进行审核，提出优化改进建议。
2.工艺编制能力：独立编制机械加工工艺卡、工序卡、作业指导书 SOP；
3.合理安排工艺流程：车、铣、磨、加工中心、线切割、热处理、表面处理等工序编排；
4.确定定位基准、装夹方式、切削参数、刀具、量具、工装夹具方案。
软件操作能力：
1.熟练使用 AutoCAD 进行图纸处理、工艺简图绘制。能使用至少一种三维软件：UG、SolidWorks、Mastercam、CATIA 等优先；
2.会使用 Office 办公软件，规范编制工艺文件。
数控与现场支持：
1.了解数控加工基本原理，能审核加工程序、刀路合理性。
能到现场指导生产，解决加工中出现的工艺问题、尺寸超差、装夹变形、振刀等异常；
2.参与新工艺、新材料、新设备的工艺验证。
工装与成本控制，提出简易工装、夹具、检具设计需求，配合设计或自制；
3.优化切削参数与加工路线，提高效率、降低刀具损耗与制造成本。
质量与体系：
1.熟悉 ISO9001、IATF16949 等质量体系基本要求；
2.参与 PFMEA、控制计划、首件检验、过程质量改善。
职业素养：
1.工作严谨细致，逻辑清晰，责任心强。具备良好的沟通协调能力，能与生产、质检、设备部门有效配合；
2.动手能力强，愿意深入现场解决实际问题。学习能力强，能持续优化工艺、提升加工效率与质量；
3.遵守公司制度，有成本意识和质量意识。
优先条件：
1.有汽配、液压、自动化设备、模具、航空精密零件工艺经验者优先；
2.熟悉五轴加工、车铣复合、难加工材料工艺者优先；
3.能独立设计简单工装夹具、检具者优先；
4.有车间现场工艺技术管理经验者优先。</t>
  </si>
  <si>
    <t>贵州嘉美居物业管理有限责任公司</t>
  </si>
  <si>
    <t>物业管理</t>
  </si>
  <si>
    <t>前台</t>
  </si>
  <si>
    <t xml:space="preserve">岗位职责
1.负责前台来访接待、电话接听及信息转达；
2.协助处理客户咨询、投诉及基础服务需求；
3.完成日常文件整理、数据录入及报表制作；
4.维护办公区域环境秩序，配合部门完成临时任务。
任职要求
1.身高160cm及以上，形象气质佳，亲和力强；
具备基础电脑操作能力（Word/Excel/PPT）；
2.普通话标准，沟通表达能力良好，服务意识强；
3.工作认真负责，具备团队协作精神。
</t>
  </si>
  <si>
    <t>贵州众智信赢增材制造有限公司</t>
  </si>
  <si>
    <t>3D金属打印工艺主管</t>
  </si>
  <si>
    <t>材料学及其相关专业</t>
  </si>
  <si>
    <t>岗位要求:
1、本科以上学历，材料学相关专业，3年以上金属打印或树脂打印制造工艺经验；
2、精通3D打印工艺开发、调试、性能测试等；
3、精通Magics软件，熟练使用三维制图，仿真等软件。
岗位职责:
1、打印工艺开发，优化材料打印参数；
2、前处理设计，完成模型支撑结构设计，制定模型摆放和切片策略；
3、后处理工艺:开发热处理/热等静压后处理工艺；
4、设备操作维护:操作和执行设备日常点检；
5、材料管理:管控金属粉末性能（粉末复用率等）建立粉末检测标准；
6、缺陷分析:分析打印缺陷类型，提出工艺改进方案；
7、工艺标准化建立:编写3D金属打印SOP手册，建立工艺FMEA
8、配合销售与客户沟通沟通需求与过程实施，配合售后进行客户定制产品的工艺或功能开发，评估订单，输出报价，确定方案，打印模型。</t>
  </si>
  <si>
    <t>金属3D打印机械设计主管</t>
  </si>
  <si>
    <t>机械制造及其自动化、机电一体化及其相关专业</t>
  </si>
  <si>
    <t>岗位要求:
1、本科以上学历，机械制造及自动化专业相关专业；
2、2年以上机床设计，3D金属打印相关经验；
3、熟练运用Solidworks. CAD.三维建模、熟练出工程图，具备力学分析及结构设计能力；
岗位职责:
1、产品的设计，包括结构、理论计算及强度校准，三维数据设计开发、验证、评审等；
2、负责细节设计，了解精度要求，并出工程图；
3、解决生产过程中的结构问题。</t>
  </si>
  <si>
    <t>市场营销等相关专业</t>
  </si>
  <si>
    <t>专科及以上</t>
  </si>
  <si>
    <t>岗位要求：
1、大专及以上学历，市场营销、机械类或材料类专业优先；
2、具备1年以上工业品销售、技术型销售或B2B业务经验（优秀应届生如有学生会外联经验也可）；
3、熟悉增材制造行业或有相关客户资源者优先录用，待遇从优；
4、具备较强的抗压能力、沟通协调能力和驾照（能适应省内短途出差）。
岗位职责：
1、负责开拓贵州省内及西南地区的3D打印服务市场，开发新客户（主要面向工业制造、科研院所、医疗齿科、文创教育等领域）；
2、深度挖掘客户需求，为客户提供产品打印、手板制作、小批量生产的报价与解决方案；
3、维护现有客户关系，跟进订单生产进度，及时回款；
4、收集市场动态与竞争对手信息，协助公司制定营销策略。</t>
  </si>
  <si>
    <t>机械制造、材料等相关专业</t>
  </si>
  <si>
    <t>工作职责
1. 协助工程师开展3D打印设备的日常操作、参数调试与基础维护工作。
2. 参与打印前处理全流程，包括三维模型修复、支撑结构设计与数据切片优化。
3. 负责记录打印过程中的工艺参数、实验数据，并整理成规范的技术文档。
4. 配合完成部门安排的其他技术辅助或研发支持类工作。
任职要求
1. 大三/大四在读，专业为增材制造技术、机械制造及其自动化、材料成型及控制工程、工业设计、金属材料工程等3D打印相关方向。
2. 对3D打印技术有浓厚兴趣，愿意从基础环节学习，动手实践能力强。
3. 能熟练使用Solidworks、UG等至少一款三维设计软件者优先。
4. 工作踏实细致，具备良好的学习能力与团队协作意识。</t>
  </si>
  <si>
    <t>贵阳永青智控科技股份有限公司</t>
  </si>
  <si>
    <t>结构设计岗</t>
  </si>
  <si>
    <t>工业设计、机械设计及其自动化、机械制造、结构设计等相关专业</t>
  </si>
  <si>
    <t>1、具备三年以上车载电子产品结构设计经验，能独立进行产品结构开发，具有汽车显示类产品结构设计经验者优先，熟悉模具工艺流程，有塑胶、压铸铝合金类结构件设计经验者优先；
具备三年以上箱柜体产品结构设计经验，能独立进行产品结构设计；熟悉南方电网、国家电网、3C技术文件以及配电柜设计规范，有中低压配电柜、环保柜、环网柜类产品结构设计经验者优先。
2、熟练使用Creo、solidedge、CAD等三维、二维主流设计软件，能够根据外观效果进行产品结构设计。
3、对产品ID设计具有基本概念，有美学素养与高雅审美观，逻辑性强，对新知识新技术学习理解能力强。
5、具有良好的团队协作和沟通能力。
4、具备诚实守信、吃苦耐劳的品质，能承受一定的工作压力。</t>
  </si>
  <si>
    <t>贵州贵阳</t>
  </si>
  <si>
    <t>嵌入式Linux软件应用工程师</t>
  </si>
  <si>
    <t>计算机/通信/软件/电子/自动控制等相关专业</t>
  </si>
  <si>
    <t>1.熟悉C/C++编程语言，熟悉Linux操作系统。
2.熟练掌握Qt框架，有GUI应用程序开发经验
3.对多线程编程、数据库操作、设计模式应用有一定的了解。
4.熟悉使用版本控制工具（如Git）。
5.具备良好沟通能力和团队合作精神，能够独立解决问题。</t>
  </si>
  <si>
    <t>嵌入式软件应用工程师</t>
  </si>
  <si>
    <t>1、本科及以上学历，计算机/通信/软件/电子/自动控制等相关专业。
2、二年以上软件研发相关经验，了解ARM体系结构，熟悉C/C++，熟悉RTOS实时系统。
3、有较好的逻辑思维能力和学习能力。
4、具备良好的职业道德，踏实稳重，积极主动，责任心强，具有较强的抗压能力。
5、具有较强的沟通能力、协调能力和团队协作能力。</t>
  </si>
  <si>
    <t>嵌入式软件测试工程师</t>
  </si>
  <si>
    <t xml:space="preserve">
1、掌握测试专业知识：白盒测试、黑盒测试、静态测试、动态测试、压力测试、性能测试等。
2、熟练掌握C/C++语言或者其他编程语言，熟悉数据结构原理。
3、嵌入式软件系统测试经验，熟悉软件测试技术基础理论知识，了解白盒测试工具的使用，熟悉软件黑盒和白盒测试方法。具有软件单元测试经验者优先考虑。
4、有较好的逻辑思维能力和对新知识的接受和学习能力。
5、具有良好的职业道德，踏实稳重，积极主动，责任心强，具有较强的抗压能力。
6、具有较强的沟通能力、协调能力和团队协作精神。</t>
  </si>
  <si>
    <t>新能源电动设计岗</t>
  </si>
  <si>
    <t>电气工程、电力电子与电力传动相关专业</t>
  </si>
  <si>
    <t xml:space="preserve">1.熟悉数字电路、模拟电路等基础知识；
2.熟悉电力电子技术、电机与拖动相关知识；
3.熟悉掌握电路原理图设计，电气元器件选型；
4.熟练使用至少一种电气设计软件，例如AutoCAD等；
5.熟练使用一种机械制图软件，例如soildWorks、Solidedge等；
</t>
  </si>
  <si>
    <t>控制软件设计岗</t>
  </si>
  <si>
    <t>电子/自动控制/机械电子等相关专业</t>
  </si>
  <si>
    <t>1.掌握电子技术，熟悉基本电子电路、电气电路。
2.熟悉基本的控制理论及应用，同时具有基本的建模仿真能力。
3.熟悉C语言，有良好编程风格。
4.具有英语技术资料阅读、技术资料查询等能力。
5.具有良好的语言表达能力、沟通能力、文档编写能力。
6.熟悉MATLAB者优先，熟悉PLC语言编程者优先。
7.了解液压技术相关知识、了解发动机、液压泵等知识者优先</t>
  </si>
  <si>
    <t>硬件项目设计岗</t>
  </si>
  <si>
    <t>1.有一定EMC设计经验。
2.有硬件设计或测试经验，掌握专业知识：数字电路设计、模拟电路设计、无线电等
3.熟练掌握一些电子电路设计相关的软件，如Altium Designer、Proteus、Multisim等相关电子设计辅助软件
4.有电源电路、采集电路、电机驱动电路、接口电路、通讯电路等方面硬件设计经验。
5.对硬件设计具有浓厚的兴趣爱好且具有一定的动手能力。
6.有较好的逻辑思维能力和对新知识的接受和学习能力。</t>
  </si>
  <si>
    <t>国际商务技术服务岗</t>
  </si>
  <si>
    <t>市场营销/电气工程/自动化等相关专业优先</t>
  </si>
  <si>
    <t>1.具备3年及以上销售工作经验，有ToB行业背景者优先；
2.英语读写熟练，具备英语口语流畅交流能力，能够处理英文商务翻译和商务沟通；
3.能适应国内外出差安排，国内平均每月一次（每次约半个月），国外每年一次（每次7-15天）；
4.熟悉仪器仪表及工业自动化领域，了解相关产品知识及市场趋势；
5.具备良好的沟通能力、客户服务意识及团队协作精神；</t>
  </si>
  <si>
    <t>CQE</t>
  </si>
  <si>
    <t>电子类/机械类/质量管理等相关专业先</t>
  </si>
  <si>
    <t>1. 有客诉处理经验，对制程工艺、表面处理工艺及机械加工、模具熟悉，对电子物料有基本的了解，同时对物料品质异常处理流程较为熟悉，具备一定的问题分析能力；
2. 熟悉ISO质量/环境/有害物质要求，熟练运用质量知识和质量七大手法，8D/PDCA/5Why等；
3. 具备良好的沟通能力和解决问题的能力，具备逆向思维，能够独立编写8D报告；
4. 从事汽车、电子行业三年以上者优先。</t>
  </si>
  <si>
    <t>SQE</t>
  </si>
  <si>
    <t>1. 掌握异常分析的流程及跟踪供应商的分析改善；
2. 提高来料批次合格率及降低制程原材料异常的发生率；
3. 具备良好的沟通能力和解决问题的能力，对供应商管理有自己独到的见解；
4. 能够熟练运用质量改进工具（纠正预防措施、QC七大工具等），熟练掌握办公软件；
5. 从事汽车、电子产品行业五年以上者优先6. 熟练操作Word、Excel等办公软件；
7. 具备良好的数据统计和分析能力。</t>
  </si>
  <si>
    <t>SMT操作员</t>
  </si>
  <si>
    <t>电气、机械、机械加工、数控、电子信息等相关专业</t>
  </si>
  <si>
    <t>大专</t>
  </si>
  <si>
    <t>1.熟悉SMT生产工艺知识，有SMT生产工艺经验；
2.了解工程机械产品生产质量标准；
3.了解仪表车间SMT设备的参数、性能和设备保养相关知识；
4.了解生产管理知识并在实际生产中运用
5.了解仪表车间危险源并对其进行管理和预防</t>
  </si>
  <si>
    <t>数控操作员</t>
  </si>
  <si>
    <t>1.熟悉数控生产工艺知识，有数控生产工艺经验，可以独立操机，有一定的编程基础；
2.了解工程机械产品生产质量标准；
3.了解机加、数控设备的参数、性能和设备保养相关知识；
4.了解生产管理知识并在实际生产中运用
5.了解车间危险源并对其进行管理和预防</t>
  </si>
  <si>
    <t>贵州凯科特材料有限公司</t>
  </si>
  <si>
    <t>技术员</t>
  </si>
  <si>
    <t>高分子材料与工程；高分子材料相关专业</t>
  </si>
  <si>
    <t>1.高分子材料相关专业，专业能力扎实；
2.具备良好的团队合作能力，能够与团队成员有效沟通合作；
3.具备较强的学习能力和抗压能力；
4.具备较好的实验操作技能和数据分析能力；
5.性格开朗，沟通能力强；
6.身高170以上，形象好。</t>
  </si>
  <si>
    <t>贵州省贵阳市白云区</t>
  </si>
  <si>
    <t>营销员</t>
  </si>
  <si>
    <t>高分子材料相关专业；材料类相关专业</t>
  </si>
  <si>
    <t>1、综合素质高，具有较强的责任心，工作敬业，勤奋务实，富有奉献精神
2、具有一定的计划力，执行力，沟通力。
3、思维敏捷，性格外向，善于交往，具有一定的综合分析能力和较强的应变能力。
4、富有团队意识，精力充沛，能适应较长的时间出差，能承受一定的工作压力。
5.身高170以上，形象好。</t>
  </si>
  <si>
    <t>体系工程师</t>
  </si>
  <si>
    <t>质量管理相关专业；高分子材料相关专业</t>
  </si>
  <si>
    <t>1、质量管理相关专业；高分子材料相关专业；
2、有本行业或者相关行业3年工作经验，熟悉ISO9001/ISO14001/ISO45001/GJB9001C/IATF16949体系；
3.熟练使用办公软件具有较强的细节关注能力及数据分析能力。熟练运用质量管理工具及方法，有较强的问题发现及解决能力，沟通能力强。</t>
  </si>
  <si>
    <t>贵州首钢水钢技师学院·汇科大数据产业学院</t>
  </si>
  <si>
    <t>教师储备</t>
  </si>
  <si>
    <t>持教师资格证</t>
  </si>
  <si>
    <t>大学本科及以上学历</t>
  </si>
  <si>
    <t>1. 资质：大学本科及以上学历，持教师资格证或相关获奖证书者优先，专业不限。
2. 素质：身心健康，五官端正，遵纪守法，品行端正，服务意识与团队协作精神强，能服从学院工作安排。
3. 能力：协调能力强，擅长学生工作，具备领导能力。
4. 年龄：18周岁以上，38周岁以下。
5. 技能：掌握简单视频剪辑，能熟练使用至少两至三种办公软件（如剪映等）。</t>
  </si>
  <si>
    <t>贵州省贵阳市白云区麦架镇 —— 贵州汇科数据科技有限责任公司</t>
  </si>
  <si>
    <t>极光湾（贵阳）发动机有限公司</t>
  </si>
  <si>
    <t>电气工程师</t>
  </si>
  <si>
    <t>机械制造及其自动化/机电一体化相关专业</t>
  </si>
  <si>
    <r>
      <rPr>
        <sz val="10"/>
        <rFont val="宋体"/>
        <charset val="134"/>
      </rPr>
      <t xml:space="preserve">
1、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熟练掌握电气控制类图纸、硬件规范；
2、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熟练应用 FANUC、SIEMENS控制系统等编程软件，如STEP7/STARTER/TIA等；
3、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熟悉PROFIBUS/PROFINET总线通讯；
4、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 xml:space="preserve">具备设备电气控制部分的改造调试能力；
</t>
    </r>
  </si>
  <si>
    <t>产品技术岗</t>
  </si>
  <si>
    <t>内燃机类、机械类及相关专业</t>
  </si>
  <si>
    <r>
      <rPr>
        <sz val="10"/>
        <rFont val="宋体"/>
        <charset val="134"/>
      </rPr>
      <t>1.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熟练掌握发动机产品构造与工作原理；
2.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熟悉机械零件的加工、工艺；
3.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熟练掌握产品开发软件、办公软件；
4.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熟练掌握国家有关内燃机、机械的法规及标准知识；
5.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熟悉电脑操作，能够熟练运用office等办公自动化软件；
6.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特别优秀者可适当放宽任职资格要求。</t>
    </r>
  </si>
  <si>
    <t>供应商质量管理岗</t>
  </si>
  <si>
    <t>材料成型/机械制造/车辆工程及相关专业</t>
  </si>
  <si>
    <r>
      <rPr>
        <sz val="10"/>
        <rFont val="宋体"/>
        <charset val="134"/>
      </rPr>
      <t>1.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熟悉供应商管理流程；
2.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熟悉内燃机构造及原理；
3.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熟悉相应发动机零部件制造工艺；
4.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熟悉发动机装配制造工艺；
5.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熟悉运用五大工具，具有较强的质量问题分析解决能力 
6.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具备较强的学习能力、组织协调能力；
7.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能熟练运用办公软件、具备较好的书面表达能力及统计分析能力。</t>
    </r>
  </si>
  <si>
    <t>工艺技术岗</t>
  </si>
  <si>
    <t>机械设计、车辆工程及相关专业</t>
  </si>
  <si>
    <r>
      <rPr>
        <sz val="10"/>
        <rFont val="宋体"/>
        <charset val="134"/>
      </rPr>
      <t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熟练运用西门子840D 数控系统，具备自主编程及上手调试能力；
7、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具备Vericut数控仿真能力，powermill/UG 软件编程能力者优先；
8、</t>
    </r>
    <r>
      <rPr>
        <sz val="10"/>
        <rFont val="Arial"/>
        <family val="2"/>
      </rPr>
      <t xml:space="preserve">	</t>
    </r>
    <r>
      <rPr>
        <sz val="10"/>
        <rFont val="宋体"/>
        <charset val="134"/>
      </rPr>
      <t>个人沟通及协调能力良好；</t>
    </r>
  </si>
  <si>
    <t>安吉热威电热科技有限公司</t>
  </si>
  <si>
    <t>品质管理储备干部</t>
  </si>
  <si>
    <t>智能制造类
机械机电类
自动化技术计算机技术数控技术
材料类等理工科专业</t>
  </si>
  <si>
    <t>贵阳市观山湖区北大资源梦想城s06栋</t>
  </si>
  <si>
    <t>生产管理储备干部</t>
  </si>
  <si>
    <t>物料管理储备干部</t>
  </si>
  <si>
    <t>设备操作技术员</t>
  </si>
  <si>
    <t>贵州蝶飞美容服务有限公司</t>
  </si>
  <si>
    <t>美容师</t>
  </si>
  <si>
    <t>贵阳市观山湖、云岩区、南明区以及乌当均可安排</t>
  </si>
  <si>
    <t>五险、带薪年假</t>
  </si>
  <si>
    <t>美容经理</t>
  </si>
  <si>
    <t>美容主播</t>
  </si>
  <si>
    <t>前台出纳</t>
  </si>
  <si>
    <t>财会类</t>
  </si>
  <si>
    <t>人事招聘专员</t>
  </si>
  <si>
    <t>管理学类</t>
  </si>
  <si>
    <t>贵州齐晋企业管理有限公司</t>
  </si>
  <si>
    <t>AI影视制作师</t>
  </si>
  <si>
    <t>计算机、传媒</t>
  </si>
  <si>
    <t>贵阳市双子塔东塔2807</t>
  </si>
  <si>
    <t>财务会计</t>
  </si>
  <si>
    <t>金融、财务、会计</t>
  </si>
  <si>
    <t>大数据标注</t>
  </si>
  <si>
    <t>理工科类</t>
  </si>
  <si>
    <t>贵州欣福智能装饰工程有限公司</t>
  </si>
  <si>
    <t>市场部经理</t>
  </si>
  <si>
    <t>观山湖大唐东原财富广场3栋8-1室</t>
  </si>
  <si>
    <t>以上所有岗位除底薪，提成当天签单当天发放，底薪+提成+节假日带薪调休+生日福利+团建+节假日礼品+社保补贴+年终奖+餐补+话补，
上班时间：朝九晚六  上六休一</t>
  </si>
  <si>
    <t>市场专员</t>
  </si>
  <si>
    <t>邀约客服</t>
  </si>
  <si>
    <t>储备干部</t>
  </si>
  <si>
    <t>设计师</t>
  </si>
  <si>
    <t>室内设计专业</t>
  </si>
  <si>
    <t>设计师助理</t>
  </si>
  <si>
    <t>极光湾（义乌）动力总成有限公司</t>
  </si>
  <si>
    <t>机械加工实习生</t>
  </si>
  <si>
    <t>汽车、机械、机电、电气、数控、物流等相关专业</t>
  </si>
  <si>
    <t>贵阳市观山湖区</t>
  </si>
  <si>
    <t>装配工实习生</t>
  </si>
  <si>
    <t>物流实习生</t>
  </si>
  <si>
    <t>设备维修实习生</t>
  </si>
  <si>
    <t>奇瑞汽车股份有限公司</t>
  </si>
  <si>
    <t>缴纳五险一金</t>
  </si>
  <si>
    <t>芜湖长信新型显示器件有限公司</t>
  </si>
  <si>
    <t>设备操作员</t>
  </si>
  <si>
    <t>贵阳市南明区</t>
  </si>
  <si>
    <t>免费提供:住宿4人间、餐补480元/月、水电网络等免费，缴纳五险一金。</t>
  </si>
  <si>
    <t>助理技术员</t>
  </si>
  <si>
    <t>贵安新区中科星城石墨有限公司</t>
  </si>
  <si>
    <t>检测员</t>
  </si>
  <si>
    <t>1、大专及以上学历，专业不限，理科优先；
2、能接受12小时白夜班班，单休；
3、无犯罪记录，责任心强，做事心细认真。</t>
  </si>
  <si>
    <t>贵阳市贵安新区</t>
  </si>
  <si>
    <t>瓴泓智能科技（贵州）有限公司</t>
  </si>
  <si>
    <t>数据标注师</t>
  </si>
  <si>
    <t>计算机及应用、电子商务、广告设计等专业优先、无色盲、手指健全。</t>
  </si>
  <si>
    <t>贵安新区</t>
  </si>
  <si>
    <t>数据标注审核员</t>
  </si>
  <si>
    <t>有相关数据标注或数据标注审核1年以上工作经验</t>
  </si>
  <si>
    <t>智能AI图片处理师</t>
  </si>
  <si>
    <t>1. 熟练使用PS/剪映等主流设计软件。
2. 具备良好的审美与创意表达能力，对色彩敏感。</t>
  </si>
  <si>
    <t>游戏行为画面采集师</t>
  </si>
  <si>
    <t>1. 负责针对市面上所有3A游戏进行采集！
2. 针对业务需求，包括不限于游戏内跑图、交互、打斗等行为采集，为模型训练提供支持</t>
  </si>
  <si>
    <t>贵州汉飞航空智能制造有限公司</t>
  </si>
  <si>
    <t>数控机床操作工</t>
  </si>
  <si>
    <t>数控专业</t>
  </si>
  <si>
    <t>(1)熟练操作数控机床，能够严格按照安全操作规程进行。
(2)能够对程序的正确性和加工方式方法的合理性进行验证和判别。
(3)能够读懂程序，并进行简单的编程。
（4）身体健康，体质较好，能进行倒班和连班生产作业。
（5）有敬业爱岗、吃苦耐劳和团队精神。</t>
  </si>
  <si>
    <t>贵阳</t>
  </si>
  <si>
    <t>贵州嘉慧达智能科技有限公司</t>
  </si>
  <si>
    <t>数据标注员</t>
  </si>
  <si>
    <t>1、年龄18-26周岁，男女不限、大专及以上学历;
2、熟悉电脑基本操作，能熟练使用鼠标、键盘，掌握简单的办公软件（Word、Excel），打字速度较快者优先。
3、具备良好的文字识别能力、逻辑判断能力和细节把控能力，做事认真细致、有耐心，能长时间专注于重复性工作，杜绝敷衍了事。
4、沟通能力良好，能清晰、准确地反馈工作中遇到的问题，有团队协作意识。</t>
  </si>
  <si>
    <t>贵州星长征教育科技有限公司</t>
  </si>
  <si>
    <t>1、大专及以上学历，专业不限，能供使用常见的办公软件即可；
2、工作积极主动，认真负责，细致耐心；
3、招聘对象仅限见习生（即:大专以上学历毕业2年内学生或者18-23.5岁人员）、实习生（即：大专以上学历还未拿到毕业证的学生）。</t>
  </si>
  <si>
    <t>贵州省贵阳贵安新区</t>
  </si>
  <si>
    <t>贵州梦动科技有限公司</t>
  </si>
  <si>
    <t>AI大模型标注</t>
  </si>
  <si>
    <t>不限专业，计算机大数据专业优先</t>
  </si>
  <si>
    <t>1、大专及以上学历，专业不限。
2、具备良好的语言理解能力、文字表达能力，细心严谨，责任心强，能认真对待每一项审核工作；
3、工作认真负责，有较强的执行力和团队协作意识，能严格遵守公司规章制度；
4、能适应固定工作节奏，熟悉基础电脑操作，无不良从业记录。</t>
  </si>
  <si>
    <t>清镇、惠水</t>
  </si>
  <si>
    <t>贵州省息旅人力资源服务有限公司</t>
  </si>
  <si>
    <t>幼儿园教师（工作年限1年）</t>
  </si>
  <si>
    <t>学前教育专业、持有幼儿教师资格证、普通话二级甲等及以上</t>
  </si>
  <si>
    <t>贵阳市息烽县</t>
  </si>
  <si>
    <t>缴纳五险一金（工资面议）</t>
  </si>
  <si>
    <t>息烽神墨教育培训学校有限公司</t>
  </si>
  <si>
    <t>口才教师</t>
  </si>
  <si>
    <t>不限、普通话二甲，播音主持优先，形象气质佳</t>
  </si>
  <si>
    <t>3500--8000</t>
  </si>
  <si>
    <t>数学老师</t>
  </si>
  <si>
    <t>数学专业，有教学经验优先</t>
  </si>
  <si>
    <t>绘画老师</t>
  </si>
  <si>
    <t>美术专业，有教师资格证</t>
  </si>
  <si>
    <t>中国平安人寿保险股份有限公司息烽支公司</t>
  </si>
  <si>
    <t>优才代理人</t>
  </si>
  <si>
    <t>不限、学习能力、沟通能力强</t>
  </si>
  <si>
    <t>6000+元/月</t>
  </si>
  <si>
    <t>兼职代理人</t>
  </si>
  <si>
    <t>不限，学习能力、沟通能力强</t>
  </si>
  <si>
    <t>3000+元/月</t>
  </si>
  <si>
    <t>贵州绿邦众创新材料有限公司</t>
  </si>
  <si>
    <t>设计</t>
  </si>
  <si>
    <t>专业不限，会工程板块的设计和农村自建房小别墅以及民宿整体风格设计</t>
  </si>
  <si>
    <t>4000-7000</t>
  </si>
  <si>
    <t>自媒体</t>
  </si>
  <si>
    <t>不限，负责网络运营的各大平台管理，拍摄，剪辑。</t>
  </si>
  <si>
    <t>生产部学员</t>
  </si>
  <si>
    <t>贵州云栖智养家政有限公司</t>
  </si>
  <si>
    <t>育婴师</t>
  </si>
  <si>
    <t>岗位职责
提供专业母婴护理服务，包括产妇照护、新生儿喂养与护理等。
负责婴幼儿日常照料、早期启蒙等工作。
岗位要求
- 有1年及以上工作经验优先 
- 具备良好的统筹协调、沟通表达能力
- 有强烈的责任心和服务意识，能吃苦耐劳
- 工作认真负责，沟通顺畅</t>
  </si>
  <si>
    <t>贵阳市</t>
  </si>
  <si>
    <t>养老看护、护理</t>
  </si>
  <si>
    <t>岗位职责
负责老年人日常生活照料，如协助饮食、起居、个人卫生等；监测老人健康状况，及时反馈异常情况；提供情感陪伴与心理疏导，维护老人心理健康。
岗位要求
身体健康，无犯罪记录，持有县级及以上医院体检合格证明；具备良好服务意识与责任心，能吃苦耐劳，部分岗位接受无经验人员但需愿意接受培训。
有养老护理相关工作经验者优先，熟悉老年人照护知识与技能；具备团队协作能力，能与其他护理人员配合完成工作；动手能力强，能熟练使用护理相关工具。</t>
  </si>
  <si>
    <t>站长</t>
  </si>
  <si>
    <r>
      <rPr>
        <sz val="10"/>
        <rFont val="宋体"/>
        <charset val="134"/>
      </rPr>
      <t>一、岗位职责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站点运营管理、老人服务对接、政企 / 社区协同、团队与资源协调、安全与应急管理、数据与档案管理等
二、任职要求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工作经验：具备 2-3年家政公司管理相关工作经验，熟悉家政服务流程，及有政企、社企合作模式者优先。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管理能力：具备独立统筹家政管理运营的能力，能制定清晰的工作计划并推动执行，擅长人员与事务管理；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综合协调能力：善于对接政府部门、社区、老人及家属、公司内部等多方主体，沟通高效、解决问题能力强；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策划执行能力：能结合老人需求与政策要求，独立策划并落地文娱活动、便民服务等项目，具备较强的落地执行与复盘优化能力。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个人素质：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有强烈的责任心与服务意识，热爱养老服务事业，对老人有耐心、爱心、同理心；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其他要求：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年龄25-55岁，身体健康，能适应站点日常运营的工作强度；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熟悉养老服务行业、具备家政服务或智养相关知识者优先；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无不良从业记录，认同公司 “便民、利民、敬老” 的服务理念。</t>
    </r>
  </si>
  <si>
    <t>副站长</t>
  </si>
  <si>
    <r>
      <rPr>
        <sz val="10"/>
        <rFont val="宋体"/>
        <charset val="134"/>
      </rPr>
      <t>一、岗位职责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运营协助与补位：协助站长统筹站点日常运营，家政管理；站长外出时，全面负责站点日常事务，保障服务不间断、运营有序。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专项服务落地：重点负责老人休闲娱乐活动的具体执行（如场地布置、人员组织、现场引导等），配合站长策划活动方案并优化落地细节；对接老人及家属需求。
人员与资源协同：协助站长管理站点兼职人员、志愿者团队，负责日常排班、考勤核对、基础业务培训及工作督导；联动社区周边便民资源。
安全与应急协助：负责站点日常安全巡查（设施、消防、老人活动安全等），发现隐患及时处理并上报站长；参与制定应急方案，老人突发情况时第一时间介入处置，配合站长对接医疗机构、家属及相关部门。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数据与档案支撑：负责站点运营数据（到访量、活动参与人数、服务满意度等）的日常统计、核对，协助站长完成报表编制与分析；整理完善老人服务档案、活动记录、人员管理档案等资料，确保档案规范留存。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政企 / 社区对接辅助：协助站长对接政府部门、社区居委会，落实政策要求，传递站点运营动态；收集整理社区及老人的意见建议，反馈给站长并参与优化方案讨论。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二、任职要求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1.工作经验：具备 1-2 年及以上家政服务，基层公共服务、养老服务、社区工作或企业行政管理相关经验；有政府或社区对接经验、养老行业从业经历者优先。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2.执行能力、沟通协调能力、有爱心、耐心、同理心，热爱养老服务事业，责任心强，能主动关注老人需求；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3.具备基础的书面表达能力，能完成简单工作记录、通知撰写等；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4.服从管理，作风务实，能积极配合团队完成工作目标。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5.其他要求：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年龄 25-55，身体健康，能适应站点日常工作强度；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>了解养老服务基本规范、具备基础应急处理知识者优先；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无不良从业记录，认同公司 “便民、利民、敬老” 的服务理念。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</t>
    </r>
  </si>
  <si>
    <t>观山湖区汐妍美容体验中心</t>
  </si>
  <si>
    <t>美容咨询师</t>
  </si>
  <si>
    <t>美容顾问核心职责：
接待客户，提供专业美容养生咨询及个性化方案；
推荐门店项目与产品，完成销售指标；
维护老客户，跟进服务体验，推动复购与转介绍；
整理客户档案，反馈客户意见。
任职要求：
1 年以上美容行业咨询 / 销售经验，懂基础美容养生知识；
沟通力强、亲和力佳，目标感突出；
形象气质优，持有美容相关证书者优先。</t>
  </si>
  <si>
    <r>
      <rPr>
        <sz val="10"/>
        <rFont val="宋体"/>
        <charset val="134"/>
      </rPr>
      <t>核心职责：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1、按规范为客户提供美容养生项目操作（如护肤、按摩、仪器护理等）；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2、服务中关注客户体验，解答基础疑问，配合推荐合适项目 / 产品；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做好仪器、工具清洁消毒及耗材整理；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3、反馈客户服务感受与需求，协助维护客户关系。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任职要求：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1、1 年以上美容师工作经验，手法娴熟，懂基础皮肤护理知识，熟练使用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>光电仪器等；
2、服务意识强，耐心细致，形象气质佳；</t>
    </r>
    <r>
      <rPr>
        <sz val="10"/>
        <rFont val="Times New Roman"/>
        <family val="1"/>
      </rPr>
      <t>​</t>
    </r>
    <r>
      <rPr>
        <sz val="10"/>
        <rFont val="宋体"/>
        <charset val="134"/>
      </rPr>
      <t xml:space="preserve">
3、持有美容师资格证者优先，新手可培训。
4、学徒不限。</t>
    </r>
  </si>
  <si>
    <t>美容师学徒</t>
  </si>
  <si>
    <t>岗位职责:
1. 学徒需要根据公司要求进行系统化两周的培训。
2. 培训后参加考核，考核通过后晋升为美容师。 
任职要求：
不限
公司包吃包住，每天公司给予20元补贴。</t>
  </si>
  <si>
    <t>美容店长</t>
  </si>
  <si>
    <t>美容店长核心职责：
统筹门店日常运营（服务、卫生、人员排班）；
制定销售目标，组织促销活动，带领团队完成业绩；
管理团队（招聘、培训、激励），提升服务质量；
控制库存与成本，维护核心客户，处理投诉。
任职要求：
3 年以上美容行业经验，1 年以上门店管理经验；
熟悉门店运营流程，具备销售管理与团队领导能力；
抗压性强，数据分析与问题解决能力突出；
持有相关资格证书者优先。</t>
  </si>
  <si>
    <t>贵州呼哪儿数据服务有限公司</t>
  </si>
  <si>
    <t>客服代表</t>
  </si>
  <si>
    <t>工作内容:电脑接听，纯接听全国快递查询电话，工单登记，投诉登记。
年龄35岁以下</t>
  </si>
  <si>
    <t>五险
实习生包吃住</t>
  </si>
  <si>
    <t>贵州禾唛餐饮有限公司</t>
  </si>
  <si>
    <t>管培生</t>
  </si>
  <si>
    <t>1.24/25/26毕业生，专业不限，热爱餐饮服务业；
2.出色的学习能力和强烈的上进心，不惧挑战，追求卓越；
3.具备优秀的沟通协调能力和初步的领导潜质；
4.愿意从基层开始，全面了解餐厅运营，并立志在一年内成长为管理团队一员。</t>
  </si>
  <si>
    <t>贵州省范围内麦当劳餐厅按需就近安排</t>
  </si>
  <si>
    <t>品牌大使</t>
  </si>
  <si>
    <t>1.热爱与人交流，笑容超有感染力，妥妥的“社牛”体质！
2.熟悉本地文化，是隐藏的“活地图”或“美食探测仪”就更好啦～
3.形象清爽阳光，亲和力满分，轻松赢得大小朋友的喜爱！
4.责任心强，做事靠谱，注重细节，执行力在线！</t>
  </si>
  <si>
    <t>贵州趣行旅游服务有限公司</t>
  </si>
  <si>
    <t>旅游产业化</t>
  </si>
  <si>
    <t>主播</t>
  </si>
  <si>
    <t>新闻专业/主持专业</t>
  </si>
  <si>
    <t>普通话标准，口齿伶俐，具有亲和力，形象端庄，有主播经验，应变能力强</t>
  </si>
  <si>
    <t>贵阳市小河</t>
  </si>
  <si>
    <t>销售主管</t>
  </si>
  <si>
    <t>市场营销</t>
  </si>
  <si>
    <t>精通销售全流程，具备较强分析决策能力，抗压性强，有较强沟通能力及客户服务意识，3年以上团队管理经验</t>
  </si>
  <si>
    <t>销售专员</t>
  </si>
  <si>
    <t>有较强沟通能力，服务意识强，有亲和力，抗压性，具有较强沟通能力及团队协作能力，有耐心和责任心。</t>
  </si>
  <si>
    <t>贵州喜百年装饰工程有限公司</t>
  </si>
  <si>
    <t>家装顾问</t>
  </si>
  <si>
    <t>南明区遵义路城市方舟B栋B3楼</t>
  </si>
  <si>
    <t>客户经理</t>
  </si>
  <si>
    <t>贵州新新传媒集团有限公司</t>
  </si>
  <si>
    <t>弹幕游戏主播 
工作地点
贵阳市区
岗位要求
男女不限，性格活泼敢表现，爱聊天会互动
能全职稳定直播，零基础肯学就行
 薪资待遇
无责保底4000元/月，综6000-10000+上不封顶
免费培训+一对一运营带教，不收任何费用）</t>
  </si>
  <si>
    <t>贵阳花果园国际商务港五号楼九楼</t>
  </si>
  <si>
    <t>贵州丹丽呗昵塔文化传播有限公司(阿芙精油)</t>
  </si>
  <si>
    <t>阿芙精油店长</t>
  </si>
  <si>
    <t>贵州贵阳市云岩区北京西路印象城购物中心</t>
  </si>
  <si>
    <t>保险，节日福利，生日福利，带薪培训</t>
  </si>
  <si>
    <t>阿芙精油导购</t>
  </si>
  <si>
    <t>阿芙精油美容师</t>
  </si>
  <si>
    <t>贵州云起龙骧旅行社有限公司</t>
  </si>
  <si>
    <t>储备旅游市场经理</t>
  </si>
  <si>
    <t>专业不限，旅游管理、市场营销相关专业优先</t>
  </si>
  <si>
    <t>贵州省贵阳市观山湖区金融城A座824</t>
  </si>
  <si>
    <t>五险、外出旅游</t>
  </si>
  <si>
    <t>贵州微化科技有限公司</t>
  </si>
  <si>
    <t>民营</t>
  </si>
  <si>
    <t>专用设备制造业/化工技术服务业</t>
  </si>
  <si>
    <t>化工机械设计员</t>
  </si>
  <si>
    <t>过程装备与控制工程、化工机械以及机械制造及其自动化类专业。</t>
  </si>
  <si>
    <t>1. 专科及以上学历，过程装备与控制工程、化工机械以及机械制造及其自动化类专业。
2. 熟悉国家化工行业相关技术规范及法定流程；具备化工机械或化工工艺、化学工程及工程机械方面的知识，熟悉化工类法规，标准等，掌握各种通用结构设计、各种材料的相关知识等。
3. 熟练掌握SOLIDWORKS/UG/PROE/Inventor等三维设计软件以及CAD/CAXA二维制图软件，掌握新品开发设计流程。善于思考，学习，具有分析、解决问题的能力。具有Ansys、Adams、Keyshot、3DMAX/MAYA/C4D、PR、PS等软件使用能力及专利撰写能力者优先。
4. 具有正能量，具有责任感，有保密意识。</t>
  </si>
  <si>
    <t>电仪技术员</t>
  </si>
  <si>
    <t>机电一体化、电气工程及其自动化、自动化仪表等相关专业</t>
  </si>
  <si>
    <t>1、专科及以上学历，电气工程及其自动化、自动化仪表、机电一体化等相关专业。
2、电仪基础接线、安装调试相关工作经验，熟练掌握电气接线基本流程和操作技巧，能独立完成常规接线作业。
3、熟练掌握电气基础接线技能，能看懂电气原理图、仪表回路图，准确完成电机控制、仪表信号、电源回路等基础接线工作，了解接线工艺标准和质量要求。
4、具备基础的技术文档填写能力，能准确记录接线作业、故障处理、设备维护等相关信息。</t>
  </si>
  <si>
    <t>机加技术员</t>
  </si>
  <si>
    <t>1、能看懂机械加工图纸、工艺文件，理解尺寸标注、公差要求及加工流程。
2、熟悉普通车床的操作、调试及日常维护，能独立完成车外圆、端面、镗孔、螺纹加工等常规工序。
3、掌握常用金属材料（尤其是化工设备专用材质，如不锈钢、碳钢、合金钢等）的切削性能，能合理选用刀具及切削参数，确保加工质量及效率。
4、会使用卡尺、千分尺、百分表、深度尺等常用量具，能准确测量工件尺寸，判断产品合格性
5、了解化工设备零部件的加工特点及质量要求，具备基本的质量问题判断及处理能力，能配合班组长及质检部门完成质量整改。</t>
  </si>
  <si>
    <t>装配技术员</t>
  </si>
  <si>
    <t>1、机械制造、焊接技术等相关专业优先，具备基础的机械装配知识。
2、具备较强的学习能力，能快速掌握基础装配技能。
3、能看懂简单的机械装配图纸和工艺文件，熟练使用卷尺、卡尺、扭矩扳手等常用测量工具和装配工具；具备基础的零部件识别能力，能准确区分不同规格的零部件；
4、工作认真细致、责任心强，具备良好的执行力，能严格按照指令完成装配任务；具备一定的问题识别能力，能及时发现装配过程中的异常情况；服从管理，善于配合团队完成工作，能适应车间一线站立作业、偶尔加班的工作节奏。</t>
  </si>
  <si>
    <t>焊接技术员</t>
  </si>
  <si>
    <t>焊接技术、材料工程、机械制造等相关专业优先</t>
  </si>
  <si>
    <r>
      <rPr>
        <sz val="10"/>
        <rFont val="宋体"/>
        <charset val="134"/>
      </rPr>
      <t>1、焊接技术、材料工程、机械制造等相关专业优先。
2、焊接项目覆盖所从事的母材材质、焊接方法及焊缝位置；具备多项焊接资质者优先。
3、熟练掌握埋弧焊、氩弧焊、CO</t>
    </r>
    <r>
      <rPr>
        <sz val="10"/>
        <rFont val="Times New Roman"/>
        <family val="1"/>
      </rPr>
      <t>₂</t>
    </r>
    <r>
      <rPr>
        <sz val="10"/>
        <rFont val="宋体"/>
        <charset val="134"/>
      </rPr>
      <t>气体保护焊等 1-2 种主流焊接工艺；能够独立完成筒体、封头、法兰等关键部件的焊接；具备焊缝缺陷识别及返修能力。</t>
    </r>
  </si>
  <si>
    <t>贵州詹阳动力重工有限公司</t>
  </si>
  <si>
    <t>国有</t>
  </si>
  <si>
    <t>先进装备制造</t>
  </si>
  <si>
    <t>智能技术、新能源、数字化、电气控制、机械制造及相关专业</t>
  </si>
  <si>
    <t>（1）大学本科及以上学历，智能技术、新能源、数字化、电气控制、机械制造及相关专业，35周岁以下。
（2）具备机械制图、熟悉机械原理，结构设计。
（3）掌握机械制图标准、材料力学、工程材料、公差配合等知识。
（4）熟练掌握和使用CAD、CAM等绘图、编程软件。
（5）具有较强的学习能力和解决问题能力，有良好的沟通协调能力。</t>
  </si>
  <si>
    <t>贵州省贵阳市经济技术开发区中曹路97号</t>
  </si>
  <si>
    <t>海外销售经理</t>
  </si>
  <si>
    <t>市场营销、机械制造、工程技术、国际贸易、外语等相关专业</t>
  </si>
  <si>
    <t>（1）大学本科及以上学历，市场营销、机械制造、工程技术、国际贸易、外语等相关专业，40周岁以下。
（2）有3年以上从事海外贸易工作经历，从事过工程机械产品外贸销售优先。
（3）具有良好的沟通协调能力和人际交往能力；具有较强的学习能力和写作能力，能熟练操作电脑及办公软件，熟悉网络沟通工具。
（4）具有区域资源优势、行业经验丰富、有突出销售业绩之一者可以放宽年龄、学历、专业限制。</t>
  </si>
  <si>
    <t>应急销售经理</t>
  </si>
  <si>
    <t>市场营销、机械制造、工程技术等相关专业</t>
  </si>
  <si>
    <t>（1）大学专科及以上学历，市场营销、机械制造、工程技术等相关专业，40周岁以下。
（2）有3年以上从事工程机械、抢险救援、消防装备等行业销售工作经历。
（3）具有良好的沟通协调能力和人际交往能力；具有较强的学习能力和写作能力，能熟练操作电脑及办公软件，熟悉网络运营及沟通工具。
（4）具有区域渠道资源优势、行业经验丰富、有突出销售业绩之一者可以放宽年龄、学历、专业限制。</t>
  </si>
  <si>
    <t>国内销售员</t>
  </si>
  <si>
    <t>（1）大学专科及以上学历，市场营销、机械制造、工程技术等相关专业，40周岁以下。
（2）有3年以上从事工程机械销售工作经历。
（3）具有良好的沟通协调能力和人际交往能力；具有较强的学习能力和写作能力，能熟练操作电脑及办公软件，熟悉网络沟通工具。
（4）具有区域渠道资源优势、行业经验丰富、有突出销售业绩之一者可以放宽年龄、学历、专业限制。</t>
  </si>
  <si>
    <t>焊工</t>
  </si>
  <si>
    <t>焊接、材料、机械制造、数控技术及相关专业</t>
  </si>
  <si>
    <t>（1）高中、中专及以上学历，焊接、材料、机械制造、数控技术及相关专业，40周岁以下。
（2）了解焊接原理，能看懂机械图纸、焊接工艺卡。
（3）了解金属材料特性及焊接符号。
（4）具备较强的学习能力和动手能力。
（5）工作认真负责，注重细节，能接受焊接作业环境。</t>
  </si>
  <si>
    <t>贵州铂韬电子科技有限公司</t>
  </si>
  <si>
    <t>研发工程师</t>
  </si>
  <si>
    <t>电磁场与微波技术、天线工程、超材料、无线电物理等相关专业</t>
  </si>
  <si>
    <t>1.硕士及以上学历，电磁场与微波技术、天线工程、超材料、无线电物理等相关专业背景。
2.熟悉电磁仿真工具（如 CST、HFSS 等），掌握隐身材料设计、RCS 计算或雷达天线设计
相关经验。
3.具备良好的科研与工程实践能力，能独立开展仿真、测试与数据分析。
4.有团队协作精神与较强的学习能力，对前沿技术有浓厚兴趣和创新意识。
5.具备保密意识，责任心强，能适应项目研发需求。</t>
  </si>
  <si>
    <t>贵阳市经开区</t>
  </si>
  <si>
    <t>贵州铂韬新材料科技有限公司</t>
  </si>
  <si>
    <t>材料物理、材料科学与工程、粉体材料科学与工程、金属材料工程等相关专业</t>
  </si>
  <si>
    <t>硕士及以上学历</t>
  </si>
  <si>
    <t>熟悉材料热分析、热模拟仿真软件、有导热材料研发经验优先。掌握金属粉体材料的基础理论知识，包括粉体的物理化学性质、颗粒特性、表面性质等。熟悉金属粉体材料的制备方法，如水雾化、气雾化、机械粉碎法、化学合成法、物理气相沉积法等。了解金属粉体材料的成型与烧结工艺，以及相关设备的原理和操作。掌握金属粉体材料的性能测试与表征方法，如粒度分析、比表面积测定、X 射线衍射分析等</t>
  </si>
  <si>
    <t>贵州煜晖电子科技有限公司</t>
  </si>
  <si>
    <t>设备工程师</t>
  </si>
  <si>
    <t>自动化设备工程、机电一体化、精密机械工程等相关专业</t>
  </si>
  <si>
    <t>LED封装设备（固品机、焊线机等)运维、改造经验，熟悉ASM、K&amp;S等主流设备原理，能独立解决设备精度故障、推动设备自动化升级</t>
  </si>
  <si>
    <t>光电信息工程、电子科学与技术、质量管理工程等相关专业</t>
  </si>
  <si>
    <t>LED显示封装行业品质管理经验，熟悉IATF16949等质量管理体系，掌握FMEA、SPC等工具，能主导缺陷分析与良率改善项目</t>
  </si>
  <si>
    <t>微电子科学与工程、光电信息科学与工程材料科学与工程等相关专业</t>
  </si>
  <si>
    <t>LED封装工艺开发经验，熟悉COB、SAD等封装工艺，有 Mini/MicroLED工艺优化或热管理技术研发经验者优先</t>
  </si>
  <si>
    <t>自动化设备工程、机电一体化、电子科学与技术、质量管理工程等相关专业</t>
  </si>
  <si>
    <t>思维逻辑清晰，具备独立策划与执行能力，熟悉内容生产流程；沟通协作能力强；适应能力强。</t>
  </si>
  <si>
    <t>轮岗部门包括生产部</t>
  </si>
  <si>
    <t>接待前台</t>
  </si>
  <si>
    <t>1、形象气质佳，净身高165cm以上，举止得体，具备良好的服务意识；  
2、普通话标准，沟通表达清晰，具备基本礼仪素养；  
3、熟练使用办公软件，具备一定的文书处理能力；  
4、工作认真负责，具备较强的执行力和团队协作能力；</t>
  </si>
  <si>
    <t>贵州中广科技有限公公司</t>
  </si>
  <si>
    <t>财税顾问</t>
  </si>
  <si>
    <t>财务/会计/审计</t>
  </si>
  <si>
    <t>1.大专及以上学历，会计、财务、税务等相关专业优先；
2.1-3年会计助理、企业财务、财税服务机构或客服/续费销售相关经验；
3.熟悉基础会计核算、纳税申报等操作，能准确解答常见财税问题；
4.形象端正，具备良好的服务礼仪与职业素养；
5.年龄35周岁以内，性别不限；</t>
  </si>
  <si>
    <t>审计</t>
  </si>
  <si>
    <t>1.大专及以上学历，会计、审计、财务等相关专业；
2.具备1年以上审计相关工作经验，有会计师事务所项目经验者优先；
3.持有中级会计职称、注册会计师、税务师等专业资格证书者优先；
4.年龄不限，具备良好的职业形象、沟通能力及团队协作意识。</t>
  </si>
  <si>
    <t>海纳实业控股集团有限公司贵州分公司</t>
  </si>
  <si>
    <t>爱家工程师</t>
  </si>
  <si>
    <t>计算机网络技术、计算机及应用、电子与信息技术、电子技术应用、市场营销等相关专业</t>
  </si>
  <si>
    <t>基本要求：年龄18-35周岁，学历中专及以上文凭。具备良好的沟通能力，能够在服务客户的过程中敏锐捕捉客户需求；熟悉相关业务知识，对通信产品有一定了解；有责任心，注重客户体验，致力于为客户提供优质服务。</t>
  </si>
  <si>
    <t>贵阳12个区县就近安排</t>
  </si>
  <si>
    <t>数智化推广大使</t>
  </si>
  <si>
    <t>年龄在18 - 45周岁，学历中专及以上文凭，专业不限。只要你有一颗积极向上的心，对销售工作充满热情，普通话标准，能熟练掌握基础电脑知识，即可加入我们。如果具备通信、中介、保险、销售等相关工作经历，或是性格外向，拥有较强的人际交往沟通能力</t>
  </si>
  <si>
    <t>湖北赢在起点企业管理有限公司</t>
  </si>
  <si>
    <t>移动直销经理/合伙人</t>
  </si>
  <si>
    <t>20-45周岁，高中及大专以上学历，男女不限，负责中小微企业、沿街商铺走访，拜访，提供各类信息化业务日常服务工作。</t>
  </si>
  <si>
    <t>京东五星电器集团重庆星普有限公司（贵阳办事处）</t>
  </si>
  <si>
    <t>现场督导岗</t>
  </si>
  <si>
    <t>1、大专及以上学历；
2、有管理意识及管理能力，善于与人沟通，具有良好的表达、沟通能力，团队合作能力；
3、熟悉售前、售后、投诉处理流程，善于处理客服投诉问题。有突发事件应变能力；
4、积极乐观、勤奋坦诚、耐心细致，具备较强的抗压力和沟通协调能力；</t>
  </si>
  <si>
    <t>贵阳市南明区遵义路399号</t>
  </si>
  <si>
    <t>销售经理/组长/专员岗</t>
  </si>
  <si>
    <t>1.大专及以上学历，2年以上销售/销售管理经验；
2.热爱零售，熟悉门店的操作流程，有商超.家电.3C品类销售/销售管理经验优先；
3.具备较强的沟通能力.组织协调能力.抗压力及团队管理能力；
4.熟悉家电.3C行业的专业知识，熟悉消费者的购物心理；</t>
  </si>
  <si>
    <t>提案经理/提案师岗</t>
  </si>
  <si>
    <t>1.大专及以上学历，
2.热爱零售，1年以上零售行业，有家电行业背景者优先，具备全品类家电（传统大家电.3C.白小）产品知识者优先；
3.熟悉消费者的购物心理，具备一定销售技巧；
4.具备一定的顾客服务能力.沟通能力.抗压能力.谈判能力.团队合作能力</t>
  </si>
  <si>
    <t>客服经理/客服岗</t>
  </si>
  <si>
    <t>1.大学专科及以上学历；
2.经理3年以上线下大型Mall客服管理经验，至少1年以上团队管理经验 ；客服有线下大型MALL客服工作经验优先；
3.较强的跨部门沟通能力.执行力.学习及亲和力，良好的应变能力和服务意识，有较强的客诉处理能力及培训能力；
4.熟悉国家消协法；</t>
  </si>
  <si>
    <t>仓储经理/仓管员岗</t>
  </si>
  <si>
    <t>1.专科及以上学历，企业管理.物流管理.供应链等相关专业；
2.经理5年以上电商或零售仓储管理工作经验，仓管员1年及以上岗位相关经验，熟悉WMS系统者优先；
3.具有较强的组织协调能力.团队管理能力.吃苦耐劳。</t>
  </si>
  <si>
    <t>体验官</t>
  </si>
  <si>
    <t>方向：咖啡/烘焙/智能出行/家庭主机游戏/美容个护/手游/VR等
1.专科及以上学历，有相关领域工作经验.顾客关系管理.社群运营经验的优先</t>
  </si>
  <si>
    <t>贵阳市南明区优启智慧幼儿园</t>
  </si>
  <si>
    <t>幼儿教师</t>
  </si>
  <si>
    <t>学前教育</t>
  </si>
  <si>
    <t>1、具备教师资格证
2、具备带班能力
3、专科及以上学历，学前教育相关专业；
4、具有1年以上幼教教学经验者优先考虑；
5、具有较强的适应能力，亲和力强；
6、熟悉儿童生活习性，了解儿童心理；
7、服从工作安排和管理；
8、热爱教育事业，工作积极主动、具备较强抗压能力；
9、长期稳定工作、责任心强、有爱心、耐心。</t>
  </si>
  <si>
    <t>贵阳新天药业股份有限公司</t>
  </si>
  <si>
    <t>生产操作实习生</t>
  </si>
  <si>
    <t>药学及相关专业</t>
  </si>
  <si>
    <t>1. 药品生产线各环节设备操作；
2. 生产记录填写、生产设备日常维护。</t>
  </si>
  <si>
    <t>贵州省贵阳市乌当区</t>
  </si>
  <si>
    <t>设备操作实习生</t>
  </si>
  <si>
    <t>机电类及相关专业</t>
  </si>
  <si>
    <t>1. 协助设备管理员完成相关设备验证确认工作；
2. 协助云锦新厂纯水、空调等辅助设备设施操作。</t>
  </si>
  <si>
    <t>贵州邦浦智能制造有限公司</t>
  </si>
  <si>
    <t>钣金生产主管</t>
  </si>
  <si>
    <t>机械制造业</t>
  </si>
  <si>
    <t>加工与生产：  
    *   能熟练操作数控折弯机，激光切割机、剪板机，自动焊接机器人，能独立、准确地根据工程图纸，完成各类柜体的下料、冲孔、折弯等工序。能维护、维修这类机子。
    *   主要负责生产  电气控制柜、净水及水处理设备 等核心产品。</t>
  </si>
  <si>
    <t>贵州省贵阳市乌当区东风镇贵州大健康医药产业智汇云锦孵化基地B3栋12层</t>
  </si>
  <si>
    <t>业务经理</t>
  </si>
  <si>
    <t>市场营销、
工商管理、机械类、
给排水、自动化</t>
  </si>
  <si>
    <t>1、5年以上水务、管道、暖通、空调、电梯等工程项目相关行业销售工作经验，熟悉政企客户关系维护；
2、具有丰富项目开发、攻关经验，良好的沟通、协调、谈判和应变能力；
2、为人正直，勤奋、执行力强，善于协调客勤关系，具备甲方、总包、设计院、水务单位的资源关系优先；
3、具有建设团队培养能力、团队管理能力、组织协调能力、市场布局和抗压能力；
4、富有责任心和合作精神、能承受工作压力、进取心、事业心强，敬业精神强；
岗位职责：</t>
  </si>
  <si>
    <t>1、2年以上水务、管道、暖通、空调、电梯等工程项目相关行业销售工作经验，熟悉客户关系维护；
2、具有项目开发、攻关经验，良好的沟通、协调、谈判和应变能力；
富有责任心和合作精神、能承受工作压力、进取心、事业心强，敬业精神强；</t>
  </si>
  <si>
    <t>设计院推广经理</t>
  </si>
  <si>
    <t>1、20-40岁以下，
2、性格开朗，善于交流，陌生拜访不怯场，有机械产品，电子产品销售推广经验，设计院工作经验者优先；
3、富有责任心和合作精神、能承受工作压力、进取心、事业心强，敬业精神强；</t>
  </si>
  <si>
    <t>太仓戴尔塔精密科技有限公司</t>
  </si>
  <si>
    <t>机械设计与制造</t>
  </si>
  <si>
    <t>定的数控理论基础，熟悉ISO13485以及FDA要求，需精通Mastercam/SolidWorks等软件，熟悉医用材料特性。
有三年以上医疗器械行业各种数控加工、精加工、表面处理工艺3Q验证经验以及工艺文件制作经验等。</t>
  </si>
  <si>
    <t>贵阳市乌当区智汇云锦孵化基地</t>
  </si>
  <si>
    <t>报价工程师</t>
  </si>
  <si>
    <t>1、大专或以上学历，机械制造相关背景，能准确理解英文技术资料。
2、分别能熟练使用至少一种2D及3D软件。
3、3年以上机加工产品的成本核算经验。能够独立核算机加件产品的产本，熟悉五金加工各工艺要求，如cnc,数控车床，走芯机，磨床，放电，激光切割，慢走丝等精密加工工艺。
4、具备一定的技术背景，理解产品特性和技术要求，以便准确评估和报价。
5、良好的沟通表达力和团队协作能力，较强的执行力和抗压力。
6、具备一定的商业谈判技巧，优化报价策略。
7、具备一定的数据分析能力，擅长运用数据分析工具，分析历史报价数据，预测和调整报价策略。</t>
  </si>
  <si>
    <t>项目质量工程师</t>
  </si>
  <si>
    <t>医疗器械行业质量岗位三年以上经验，技术背景（识图能力）。
需精通医用金属加工标准，熟悉三坐标测量（CMM）等精密检测方法。</t>
  </si>
  <si>
    <t>助理工程师</t>
  </si>
  <si>
    <t>1）机械相关专业，大专（全日制）及以上学历，能看懂英文图纸及技术资料；
2）画图能力强，能完全高效独立的处理、绘制各种图纸（CAD和3D），命令使用，宏程序使用，图层使用。
3）熟悉机械产品的工艺，并能根据零件图纸制作工艺单；
4）条理清晰，工作细致，严谨。良好的沟通协调能力，能承受较强的工作压力。</t>
  </si>
  <si>
    <t>采购工程师</t>
  </si>
  <si>
    <r>
      <rPr>
        <sz val="10"/>
        <rFont val="Symbol"/>
        <family val="1"/>
        <charset val="2"/>
      </rPr>
      <t></t>
    </r>
    <r>
      <rPr>
        <sz val="10"/>
        <rFont val="宋体"/>
        <charset val="134"/>
      </rPr>
      <t xml:space="preserve">大专及以上学历，供应链、物流、机械或相关专业优先；
</t>
    </r>
    <r>
      <rPr>
        <sz val="10"/>
        <rFont val="Symbol"/>
        <family val="1"/>
        <charset val="2"/>
      </rPr>
      <t></t>
    </r>
    <r>
      <rPr>
        <sz val="10"/>
        <rFont val="宋体"/>
        <charset val="134"/>
      </rPr>
      <t xml:space="preserve">3年以上采购工作经验，具备完整的供应商开发与管理实操经验；
</t>
    </r>
    <r>
      <rPr>
        <sz val="10"/>
        <rFont val="Symbol"/>
        <family val="1"/>
        <charset val="2"/>
      </rPr>
      <t></t>
    </r>
    <r>
      <rPr>
        <sz val="10"/>
        <rFont val="宋体"/>
        <charset val="134"/>
      </rPr>
      <t xml:space="preserve">有机加工、机械制造或制造业背景者优先；
</t>
    </r>
    <r>
      <rPr>
        <sz val="10"/>
        <rFont val="Symbol"/>
        <family val="1"/>
        <charset val="2"/>
      </rPr>
      <t></t>
    </r>
    <r>
      <rPr>
        <sz val="10"/>
        <rFont val="宋体"/>
        <charset val="134"/>
      </rPr>
      <t xml:space="preserve">熟练使用Office办公软件（Excel、PPT等），熟悉ERP系统操作；
</t>
    </r>
    <r>
      <rPr>
        <sz val="10"/>
        <rFont val="Symbol"/>
        <family val="1"/>
        <charset val="2"/>
      </rPr>
      <t></t>
    </r>
    <r>
      <rPr>
        <sz val="10"/>
        <rFont val="宋体"/>
        <charset val="134"/>
      </rPr>
      <t xml:space="preserve">具备优秀的沟通协调能力、问题解决能力及抗压能力；
</t>
    </r>
    <r>
      <rPr>
        <sz val="10"/>
        <rFont val="Symbol"/>
        <family val="1"/>
        <charset val="2"/>
      </rPr>
      <t></t>
    </r>
    <r>
      <rPr>
        <sz val="10"/>
        <rFont val="宋体"/>
        <charset val="134"/>
      </rPr>
      <t xml:space="preserve">认同创业公司文化，愿意全力以赴，快速响应业务变化。
加分项：
</t>
    </r>
    <r>
      <rPr>
        <sz val="10"/>
        <rFont val="Symbol"/>
        <family val="1"/>
        <charset val="2"/>
      </rPr>
      <t></t>
    </r>
    <r>
      <rPr>
        <sz val="10"/>
        <rFont val="宋体"/>
        <charset val="134"/>
      </rPr>
      <t xml:space="preserve">有刀具、切削工具、金属原材料等采购经验；
</t>
    </r>
    <r>
      <rPr>
        <sz val="10"/>
        <rFont val="Symbol"/>
        <family val="1"/>
        <charset val="2"/>
      </rPr>
      <t></t>
    </r>
    <r>
      <rPr>
        <sz val="10"/>
        <rFont val="宋体"/>
        <charset val="134"/>
      </rPr>
      <t xml:space="preserve">熟悉ISO质量管理体系；
</t>
    </r>
    <r>
      <rPr>
        <sz val="10"/>
        <rFont val="Symbol"/>
        <family val="1"/>
        <charset val="2"/>
      </rPr>
      <t></t>
    </r>
    <r>
      <rPr>
        <sz val="10"/>
        <rFont val="宋体"/>
        <charset val="134"/>
      </rPr>
      <t>具备成本分析或谈判成功案例。
该岗位适合希望在高速成长型企业中承担核心职责、并有志于向采购管理方向发展的专业人士。（</t>
    </r>
  </si>
  <si>
    <t>贵州华工工具注塑有限公司</t>
  </si>
  <si>
    <t>拉刀磨</t>
  </si>
  <si>
    <t>具备数控操作能力，适应车间生产工作</t>
  </si>
  <si>
    <t>贵阳市花溪区</t>
  </si>
  <si>
    <t>外圆磨</t>
  </si>
  <si>
    <t>内孔磨</t>
  </si>
  <si>
    <t>铲齿磨</t>
  </si>
  <si>
    <t>齿轮磨</t>
  </si>
  <si>
    <t>机电一体设备修理岗</t>
  </si>
  <si>
    <t>机电维修、机械自动化</t>
  </si>
  <si>
    <t>实操技能：能熟练使用万用表、示波器等检测工具，完成电机、变频器、PLC 等部件的拆装、调试与维修；具备机械零件的测绘、加工与装配能力。诊断技能：能通过设备运行参数、故障现象，判断机电一体化设备（如数控机床、自动化生产线）的故障点，并制定维修方案。工具使用：熟悉常用维修工具（扳手、螺丝刀、焊机等）和专业仪器的操作规范。</t>
  </si>
  <si>
    <t>财务</t>
  </si>
  <si>
    <t>会计专业初级及以上职称</t>
  </si>
  <si>
    <t>有较强的沟通能力及数据分析能力，有租赁业工作经验优先</t>
  </si>
  <si>
    <t>熟悉制造业全流程财务核算；具有较强的沟通能力及数据分析能力。</t>
  </si>
  <si>
    <t>江西科艺</t>
  </si>
  <si>
    <t>贵州北极熊实业有限公司</t>
  </si>
  <si>
    <t>市场企划部经理</t>
  </si>
  <si>
    <t>岗位职责:
1. 制定并执行品牌推广策略，统筹策划与落地各类市场活动
2. 策划并推动新品发布、节日营销、促销活动及线下推广项目
3. 协调内外部资源，整合媒体、渠道及合作伙伴，提升品牌影响力
4. 跟进活动执行效果，分析数据并优化方案，提升整体营销成效
5. 配合团队完成市场目标，推动品牌建设与市场拓展</t>
  </si>
  <si>
    <t>销售业务员</t>
  </si>
  <si>
    <t>工商管理类</t>
  </si>
  <si>
    <t>1、市场拜访，客勤维护。
2、产品陈列，协助经销商相关工作。</t>
  </si>
  <si>
    <t>铜仁办业务员</t>
  </si>
  <si>
    <t>铜仁市</t>
  </si>
  <si>
    <t>都匀业务员</t>
  </si>
  <si>
    <t>1、市场拜访，客勤维护。
3、产品陈列，协助经销商相关工作。</t>
  </si>
  <si>
    <t>都匀市市</t>
  </si>
  <si>
    <t>兴义办主任</t>
  </si>
  <si>
    <t>1、负责市场开发。2、客户及经销商的全面管理。3、负责整体团队的传帮带。</t>
  </si>
  <si>
    <t>兴义市</t>
  </si>
  <si>
    <t>平坝区域业务员</t>
  </si>
  <si>
    <t>安顺市</t>
  </si>
  <si>
    <t>市区业务员</t>
  </si>
  <si>
    <t>解说员</t>
  </si>
  <si>
    <t>行政管理类类</t>
  </si>
  <si>
    <t>负责现场接待讲解及其他行政事务工作。</t>
  </si>
  <si>
    <t>贵州钜航表面处理技术有限公司</t>
  </si>
  <si>
    <t>检验员/化验员/生产计划员</t>
  </si>
  <si>
    <t>材料工程、机械制造、金属表面处理、腐蚀与防护、化学分析检验</t>
  </si>
  <si>
    <t xml:space="preserve">参与生产车间各核心岗位轮岗，深入熟悉生产全流程与现场精细化管理模式。作为公司未来核心管理干部储备，在实践中快速成长。
巡检表面处理各工序，监控前处理、镀覆、钝化、烘干等生产过程。抽检来料、在制品、成品，检查外观、镀层厚度、附着力、色差、瑕疵等。做好检验记录、台账，标识合格 / 不良品，隔离不合格物料。及时反馈质量异常，配合整改、追溯问题。
</t>
  </si>
  <si>
    <t>贵州市花溪区</t>
  </si>
  <si>
    <t>贵州森屿绿能新能源有限公司</t>
  </si>
  <si>
    <t>风电运维工程师</t>
  </si>
  <si>
    <t>电气、机电、机械等相关专业</t>
  </si>
  <si>
    <t>1、大专及以上学历，机械类、电气类、材料类、新能源等工科专业；
2、良好的沟通协调能力，及办公软件使用能力；
3、有较强的的责任心、执行力； 
4、抗压能力强、原则性较强、能适应长期在外工作。
5、年龄18—35岁，无色盲、色弱、无恐高、无犯罪记录。
7、上岗国家规定持三证（低压电工证、高压电工证、登高作业证）</t>
  </si>
  <si>
    <t>西南、华南片区</t>
  </si>
  <si>
    <t>贵州兴财通科技有限公司</t>
  </si>
  <si>
    <t>固定资产研究院研究员</t>
  </si>
  <si>
    <t>会计学、审计学、财务管理、资产评估等相关专业</t>
  </si>
  <si>
    <t>硕士研究生及以上学历</t>
  </si>
  <si>
    <t>工作经验：具备财务管理相关工作经验，熟悉财务管理流程、固定资产核算及管理逻辑者优先；
政治面貌：中共党员；
其他条件：持有有效机动车驾驶证，能熟练驾驶；
能力素质：具备较强的研究分析能力、逻辑思维能力及文字撰写能力；熟练使用各类办公软件及财务分析工具；工作严谨细致、责任心强，具备良好的沟通协调能力与团队协作精神。</t>
  </si>
  <si>
    <t>贵州省</t>
  </si>
  <si>
    <t>贵州中龄大健康医院有限公司</t>
  </si>
  <si>
    <t>护士</t>
  </si>
  <si>
    <t>护理专业</t>
  </si>
  <si>
    <t>1、身高160及以上，形象气质佳；
2、沟通表达流利，应变能力强；
3、持护士资格证</t>
  </si>
  <si>
    <t>形象顾问</t>
  </si>
  <si>
    <t>1.大专以上学历，化妆、形象管理等相关专业
2.1年以上形象设计、服装搭配、服装销售等相关行业从业经验；
3.能独立完成整体造型；
4.具备色彩诊断和风格鉴定、整体形象打造能力；
5.具有责任感，拥有良好的沟通协调能力以及强大的销售能力；</t>
  </si>
  <si>
    <t>健康顾问</t>
  </si>
  <si>
    <t>专业不限，医疗行业优先</t>
  </si>
  <si>
    <t>1. 专业不限，大专及以上学历。
2. 具备良好的沟通能力和客户服务意识，能够耐心解答客户疑问。
3. 熟悉健康管理理论与实践，有相关工作经验者优先。
4. 持有健康管理师、营养师等相关证书者优先。
5. 熟练使用办公软件及健康管理信息系统，有一定数据分析能力。
6. 能接受出差</t>
  </si>
  <si>
    <t>消防监控员</t>
  </si>
  <si>
    <t>1、20-50周岁，身高170以上
高星级企业1年以上同岗工作经验，有一定的消防专业知识并持有中级消防资格证；
2、具有高度的责任感和严谨的工作态度；
3、具有良好的口头和书面表达能力、沟通协调能力。</t>
  </si>
  <si>
    <t>贵阳逸合康养度假酒店有限公司</t>
  </si>
  <si>
    <t>高级餐饮服务员</t>
  </si>
  <si>
    <t>1、年龄：18-40 周岁，身高 160cm 及以上；
2、具备良好的客户服务意识，能够有效解决客户问题</t>
  </si>
  <si>
    <t>单位名称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</si>
</sst>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Symbol"/>
      <family val="1"/>
      <charset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宋体"/>
      <charset val="134"/>
    </font>
    <font>
      <sz val="9"/>
      <name val="宋体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6"/>
  <sheetViews>
    <sheetView tabSelected="1" workbookViewId="0">
      <pane ySplit="1" topLeftCell="A267" activePane="bottomLeft" state="frozen"/>
      <selection pane="bottomLeft" activeCell="D1" sqref="D1"/>
    </sheetView>
  </sheetViews>
  <sheetFormatPr defaultColWidth="9" defaultRowHeight="21" customHeight="1" x14ac:dyDescent="0.25"/>
  <cols>
    <col min="1" max="1" width="5.109375" style="1" customWidth="1"/>
    <col min="2" max="2" width="38.21875" style="2" customWidth="1"/>
    <col min="3" max="3" width="9" style="1"/>
    <col min="4" max="4" width="12.88671875" style="3" customWidth="1"/>
    <col min="5" max="5" width="16.5546875" style="3" customWidth="1"/>
    <col min="6" max="6" width="9" style="4"/>
    <col min="7" max="7" width="17.44140625" style="1" customWidth="1"/>
    <col min="8" max="8" width="15.21875" style="1" customWidth="1"/>
    <col min="9" max="9" width="21.21875" style="1" customWidth="1"/>
    <col min="10" max="10" width="17.6640625" style="1" customWidth="1"/>
    <col min="11" max="11" width="17.33203125" style="1" customWidth="1"/>
  </cols>
  <sheetData>
    <row r="1" spans="1:11" ht="37.950000000000003" customHeight="1" x14ac:dyDescent="0.25">
      <c r="A1" s="5" t="s">
        <v>0</v>
      </c>
      <c r="B1" s="45" t="s">
        <v>819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t="61.05" customHeight="1" x14ac:dyDescent="0.25">
      <c r="A2" s="5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>
        <v>50</v>
      </c>
      <c r="G2" s="5" t="s">
        <v>14</v>
      </c>
      <c r="H2" s="5" t="s">
        <v>15</v>
      </c>
      <c r="I2" s="5" t="s">
        <v>16</v>
      </c>
      <c r="J2" s="5" t="s">
        <v>17</v>
      </c>
      <c r="K2" s="5" t="str">
        <f t="shared" ref="K2:K32" si="0">K1</f>
        <v>备注</v>
      </c>
    </row>
    <row r="3" spans="1:11" ht="45" customHeight="1" x14ac:dyDescent="0.25">
      <c r="A3" s="5">
        <v>2</v>
      </c>
      <c r="B3" s="5" t="s">
        <v>18</v>
      </c>
      <c r="C3" s="5" t="s">
        <v>11</v>
      </c>
      <c r="D3" s="5" t="s">
        <v>12</v>
      </c>
      <c r="E3" s="5" t="s">
        <v>13</v>
      </c>
      <c r="F3" s="5">
        <v>50</v>
      </c>
      <c r="G3" s="5" t="s">
        <v>14</v>
      </c>
      <c r="H3" s="5" t="s">
        <v>15</v>
      </c>
      <c r="I3" s="5" t="s">
        <v>16</v>
      </c>
      <c r="J3" s="5" t="s">
        <v>17</v>
      </c>
      <c r="K3" s="5" t="str">
        <f t="shared" si="0"/>
        <v>备注</v>
      </c>
    </row>
    <row r="4" spans="1:11" ht="45" customHeight="1" x14ac:dyDescent="0.25">
      <c r="A4" s="5">
        <v>3</v>
      </c>
      <c r="B4" s="5" t="s">
        <v>19</v>
      </c>
      <c r="C4" s="5" t="s">
        <v>11</v>
      </c>
      <c r="D4" s="5" t="s">
        <v>20</v>
      </c>
      <c r="E4" s="5" t="s">
        <v>21</v>
      </c>
      <c r="F4" s="5">
        <v>50</v>
      </c>
      <c r="G4" s="5" t="s">
        <v>22</v>
      </c>
      <c r="H4" s="5" t="s">
        <v>15</v>
      </c>
      <c r="I4" s="5" t="s">
        <v>23</v>
      </c>
      <c r="J4" s="5" t="s">
        <v>24</v>
      </c>
      <c r="K4" s="5" t="str">
        <f t="shared" si="0"/>
        <v>备注</v>
      </c>
    </row>
    <row r="5" spans="1:11" ht="45" customHeight="1" x14ac:dyDescent="0.25">
      <c r="A5" s="5">
        <v>4</v>
      </c>
      <c r="B5" s="5" t="s">
        <v>25</v>
      </c>
      <c r="C5" s="5" t="s">
        <v>11</v>
      </c>
      <c r="D5" s="5" t="s">
        <v>12</v>
      </c>
      <c r="E5" s="5" t="s">
        <v>26</v>
      </c>
      <c r="F5" s="5">
        <v>300</v>
      </c>
      <c r="G5" s="5" t="s">
        <v>27</v>
      </c>
      <c r="H5" s="5" t="s">
        <v>15</v>
      </c>
      <c r="I5" s="5" t="s">
        <v>28</v>
      </c>
      <c r="J5" s="5" t="s">
        <v>29</v>
      </c>
      <c r="K5" s="5" t="str">
        <f t="shared" si="0"/>
        <v>备注</v>
      </c>
    </row>
    <row r="6" spans="1:11" ht="45" customHeight="1" x14ac:dyDescent="0.25">
      <c r="A6" s="6">
        <v>5</v>
      </c>
      <c r="B6" s="6" t="s">
        <v>30</v>
      </c>
      <c r="C6" s="6" t="s">
        <v>11</v>
      </c>
      <c r="D6" s="6" t="s">
        <v>12</v>
      </c>
      <c r="E6" s="5" t="s">
        <v>31</v>
      </c>
      <c r="F6" s="5">
        <v>10</v>
      </c>
      <c r="G6" s="5" t="s">
        <v>32</v>
      </c>
      <c r="H6" s="5" t="s">
        <v>33</v>
      </c>
      <c r="I6" s="5" t="str">
        <f t="shared" ref="I6:I14" si="1">I5</f>
        <v>会电脑基本操作</v>
      </c>
      <c r="J6" s="5" t="s">
        <v>29</v>
      </c>
      <c r="K6" s="6" t="str">
        <f t="shared" si="0"/>
        <v>备注</v>
      </c>
    </row>
    <row r="7" spans="1:11" ht="45" customHeight="1" x14ac:dyDescent="0.25">
      <c r="A7" s="30">
        <f t="shared" ref="A7:D12" si="2">A6</f>
        <v>5</v>
      </c>
      <c r="B7" s="30" t="str">
        <f t="shared" si="2"/>
        <v>天枢鸟（贵州）航空科技有限公司</v>
      </c>
      <c r="C7" s="30" t="str">
        <f t="shared" si="2"/>
        <v>民营企业</v>
      </c>
      <c r="D7" s="30" t="str">
        <f t="shared" si="2"/>
        <v>大数据</v>
      </c>
      <c r="E7" s="5" t="s">
        <v>34</v>
      </c>
      <c r="F7" s="5">
        <v>5</v>
      </c>
      <c r="G7" s="5" t="s">
        <v>35</v>
      </c>
      <c r="H7" s="5" t="s">
        <v>36</v>
      </c>
      <c r="I7" s="5" t="str">
        <f t="shared" si="1"/>
        <v>会电脑基本操作</v>
      </c>
      <c r="J7" s="5" t="s">
        <v>29</v>
      </c>
      <c r="K7" s="30" t="str">
        <f t="shared" si="0"/>
        <v>备注</v>
      </c>
    </row>
    <row r="8" spans="1:11" ht="45" customHeight="1" x14ac:dyDescent="0.25">
      <c r="A8" s="30">
        <f t="shared" si="2"/>
        <v>5</v>
      </c>
      <c r="B8" s="30" t="str">
        <f t="shared" si="2"/>
        <v>天枢鸟（贵州）航空科技有限公司</v>
      </c>
      <c r="C8" s="30" t="str">
        <f t="shared" si="2"/>
        <v>民营企业</v>
      </c>
      <c r="D8" s="30" t="str">
        <f t="shared" si="2"/>
        <v>大数据</v>
      </c>
      <c r="E8" s="5" t="s">
        <v>37</v>
      </c>
      <c r="F8" s="5">
        <v>10</v>
      </c>
      <c r="G8" s="5" t="s">
        <v>38</v>
      </c>
      <c r="H8" s="5" t="s">
        <v>33</v>
      </c>
      <c r="I8" s="5" t="str">
        <f t="shared" si="1"/>
        <v>会电脑基本操作</v>
      </c>
      <c r="J8" s="5" t="s">
        <v>29</v>
      </c>
      <c r="K8" s="30" t="str">
        <f t="shared" si="0"/>
        <v>备注</v>
      </c>
    </row>
    <row r="9" spans="1:11" ht="45" customHeight="1" x14ac:dyDescent="0.25">
      <c r="A9" s="30">
        <f t="shared" si="2"/>
        <v>5</v>
      </c>
      <c r="B9" s="30" t="str">
        <f t="shared" si="2"/>
        <v>天枢鸟（贵州）航空科技有限公司</v>
      </c>
      <c r="C9" s="30" t="str">
        <f t="shared" si="2"/>
        <v>民营企业</v>
      </c>
      <c r="D9" s="30" t="str">
        <f t="shared" si="2"/>
        <v>大数据</v>
      </c>
      <c r="E9" s="5" t="s">
        <v>39</v>
      </c>
      <c r="F9" s="5">
        <v>10</v>
      </c>
      <c r="G9" s="5" t="s">
        <v>40</v>
      </c>
      <c r="H9" s="5" t="s">
        <v>33</v>
      </c>
      <c r="I9" s="5" t="str">
        <f t="shared" si="1"/>
        <v>会电脑基本操作</v>
      </c>
      <c r="J9" s="5" t="s">
        <v>29</v>
      </c>
      <c r="K9" s="30" t="str">
        <f t="shared" si="0"/>
        <v>备注</v>
      </c>
    </row>
    <row r="10" spans="1:11" ht="45" customHeight="1" x14ac:dyDescent="0.25">
      <c r="A10" s="30">
        <f t="shared" si="2"/>
        <v>5</v>
      </c>
      <c r="B10" s="30" t="str">
        <f t="shared" si="2"/>
        <v>天枢鸟（贵州）航空科技有限公司</v>
      </c>
      <c r="C10" s="30" t="str">
        <f t="shared" si="2"/>
        <v>民营企业</v>
      </c>
      <c r="D10" s="30" t="str">
        <f t="shared" si="2"/>
        <v>大数据</v>
      </c>
      <c r="E10" s="5" t="s">
        <v>41</v>
      </c>
      <c r="F10" s="5">
        <v>10</v>
      </c>
      <c r="G10" s="5" t="s">
        <v>42</v>
      </c>
      <c r="H10" s="5" t="s">
        <v>33</v>
      </c>
      <c r="I10" s="5" t="str">
        <f t="shared" si="1"/>
        <v>会电脑基本操作</v>
      </c>
      <c r="J10" s="5" t="s">
        <v>29</v>
      </c>
      <c r="K10" s="30" t="str">
        <f t="shared" si="0"/>
        <v>备注</v>
      </c>
    </row>
    <row r="11" spans="1:11" ht="27" customHeight="1" x14ac:dyDescent="0.25">
      <c r="A11" s="30">
        <f t="shared" si="2"/>
        <v>5</v>
      </c>
      <c r="B11" s="30" t="str">
        <f t="shared" si="2"/>
        <v>天枢鸟（贵州）航空科技有限公司</v>
      </c>
      <c r="C11" s="30" t="str">
        <f t="shared" si="2"/>
        <v>民营企业</v>
      </c>
      <c r="D11" s="30" t="str">
        <f t="shared" si="2"/>
        <v>大数据</v>
      </c>
      <c r="E11" s="5" t="s">
        <v>43</v>
      </c>
      <c r="F11" s="5">
        <v>20</v>
      </c>
      <c r="G11" s="5" t="s">
        <v>44</v>
      </c>
      <c r="H11" s="5" t="s">
        <v>33</v>
      </c>
      <c r="I11" s="5" t="str">
        <f t="shared" si="1"/>
        <v>会电脑基本操作</v>
      </c>
      <c r="J11" s="5" t="s">
        <v>29</v>
      </c>
      <c r="K11" s="30" t="str">
        <f t="shared" si="0"/>
        <v>备注</v>
      </c>
    </row>
    <row r="12" spans="1:11" ht="27" customHeight="1" x14ac:dyDescent="0.25">
      <c r="A12" s="7">
        <f t="shared" si="2"/>
        <v>5</v>
      </c>
      <c r="B12" s="7" t="str">
        <f t="shared" si="2"/>
        <v>天枢鸟（贵州）航空科技有限公司</v>
      </c>
      <c r="C12" s="7" t="str">
        <f t="shared" si="2"/>
        <v>民营企业</v>
      </c>
      <c r="D12" s="7" t="str">
        <f t="shared" si="2"/>
        <v>大数据</v>
      </c>
      <c r="E12" s="5" t="s">
        <v>45</v>
      </c>
      <c r="F12" s="5">
        <v>3</v>
      </c>
      <c r="G12" s="5" t="s">
        <v>46</v>
      </c>
      <c r="H12" s="5" t="s">
        <v>33</v>
      </c>
      <c r="I12" s="5" t="str">
        <f t="shared" si="1"/>
        <v>会电脑基本操作</v>
      </c>
      <c r="J12" s="5" t="s">
        <v>29</v>
      </c>
      <c r="K12" s="7" t="str">
        <f t="shared" si="0"/>
        <v>备注</v>
      </c>
    </row>
    <row r="13" spans="1:11" ht="27" customHeight="1" x14ac:dyDescent="0.25">
      <c r="A13" s="6">
        <v>6</v>
      </c>
      <c r="B13" s="6" t="s">
        <v>47</v>
      </c>
      <c r="C13" s="6" t="s">
        <v>11</v>
      </c>
      <c r="D13" s="6" t="s">
        <v>20</v>
      </c>
      <c r="E13" s="5" t="s">
        <v>48</v>
      </c>
      <c r="F13" s="5">
        <v>2</v>
      </c>
      <c r="G13" s="5" t="s">
        <v>49</v>
      </c>
      <c r="H13" s="5" t="s">
        <v>33</v>
      </c>
      <c r="I13" s="5" t="str">
        <f t="shared" si="1"/>
        <v>会电脑基本操作</v>
      </c>
      <c r="J13" s="5" t="s">
        <v>29</v>
      </c>
      <c r="K13" s="5" t="str">
        <f t="shared" si="0"/>
        <v>备注</v>
      </c>
    </row>
    <row r="14" spans="1:11" ht="30" customHeight="1" x14ac:dyDescent="0.25">
      <c r="A14" s="7">
        <f t="shared" ref="A14:D14" si="3">A13</f>
        <v>6</v>
      </c>
      <c r="B14" s="7" t="str">
        <f t="shared" si="3"/>
        <v>贵阳国际生态会议中心有限公司</v>
      </c>
      <c r="C14" s="7" t="str">
        <f t="shared" si="3"/>
        <v>民营企业</v>
      </c>
      <c r="D14" s="7" t="str">
        <f t="shared" si="3"/>
        <v>现代服务业</v>
      </c>
      <c r="E14" s="5" t="s">
        <v>50</v>
      </c>
      <c r="F14" s="5">
        <v>1</v>
      </c>
      <c r="G14" s="8" t="s">
        <v>51</v>
      </c>
      <c r="H14" s="5" t="s">
        <v>33</v>
      </c>
      <c r="I14" s="5" t="str">
        <f t="shared" si="1"/>
        <v>会电脑基本操作</v>
      </c>
      <c r="J14" s="5" t="s">
        <v>29</v>
      </c>
      <c r="K14" s="5" t="str">
        <f t="shared" si="0"/>
        <v>备注</v>
      </c>
    </row>
    <row r="15" spans="1:11" ht="34.049999999999997" customHeight="1" x14ac:dyDescent="0.25">
      <c r="A15" s="9">
        <v>7</v>
      </c>
      <c r="B15" s="7" t="s">
        <v>52</v>
      </c>
      <c r="C15" s="5" t="s">
        <v>11</v>
      </c>
      <c r="D15" s="5" t="s">
        <v>12</v>
      </c>
      <c r="E15" s="5" t="s">
        <v>53</v>
      </c>
      <c r="F15" s="5">
        <v>10</v>
      </c>
      <c r="G15" s="5" t="s">
        <v>14</v>
      </c>
      <c r="H15" s="5" t="s">
        <v>15</v>
      </c>
      <c r="I15" s="5" t="s">
        <v>54</v>
      </c>
      <c r="J15" s="5" t="s">
        <v>55</v>
      </c>
      <c r="K15" s="5" t="str">
        <f t="shared" si="0"/>
        <v>备注</v>
      </c>
    </row>
    <row r="16" spans="1:11" ht="21" customHeight="1" x14ac:dyDescent="0.25">
      <c r="A16" s="31">
        <v>8</v>
      </c>
      <c r="B16" s="6" t="s">
        <v>56</v>
      </c>
      <c r="C16" s="5" t="s">
        <v>11</v>
      </c>
      <c r="D16" s="5" t="s">
        <v>57</v>
      </c>
      <c r="E16" s="5" t="s">
        <v>58</v>
      </c>
      <c r="F16" s="5">
        <v>10</v>
      </c>
      <c r="G16" s="5" t="s">
        <v>59</v>
      </c>
      <c r="H16" s="5" t="s">
        <v>60</v>
      </c>
      <c r="I16" s="5" t="s">
        <v>61</v>
      </c>
      <c r="J16" s="5" t="s">
        <v>62</v>
      </c>
      <c r="K16" s="5" t="str">
        <f t="shared" si="0"/>
        <v>备注</v>
      </c>
    </row>
    <row r="17" spans="1:11" ht="21" customHeight="1" x14ac:dyDescent="0.25">
      <c r="A17" s="32">
        <f t="shared" ref="A17:B19" si="4">A16</f>
        <v>8</v>
      </c>
      <c r="B17" s="30" t="str">
        <f t="shared" si="4"/>
        <v>贵州航宇科技发展股份有限公司</v>
      </c>
      <c r="C17" s="5" t="s">
        <v>11</v>
      </c>
      <c r="D17" s="5" t="s">
        <v>57</v>
      </c>
      <c r="E17" s="5" t="s">
        <v>63</v>
      </c>
      <c r="F17" s="5">
        <v>10</v>
      </c>
      <c r="G17" s="5" t="s">
        <v>64</v>
      </c>
      <c r="H17" s="5" t="s">
        <v>60</v>
      </c>
      <c r="I17" s="5" t="s">
        <v>65</v>
      </c>
      <c r="J17" s="5" t="s">
        <v>62</v>
      </c>
      <c r="K17" s="5" t="str">
        <f t="shared" si="0"/>
        <v>备注</v>
      </c>
    </row>
    <row r="18" spans="1:11" ht="21" customHeight="1" x14ac:dyDescent="0.25">
      <c r="A18" s="32">
        <f t="shared" si="4"/>
        <v>8</v>
      </c>
      <c r="B18" s="30" t="str">
        <f t="shared" si="4"/>
        <v>贵州航宇科技发展股份有限公司</v>
      </c>
      <c r="C18" s="5" t="s">
        <v>11</v>
      </c>
      <c r="D18" s="5" t="s">
        <v>57</v>
      </c>
      <c r="E18" s="5" t="s">
        <v>66</v>
      </c>
      <c r="F18" s="5">
        <v>10</v>
      </c>
      <c r="G18" s="5" t="s">
        <v>64</v>
      </c>
      <c r="H18" s="5" t="s">
        <v>60</v>
      </c>
      <c r="I18" s="5" t="s">
        <v>65</v>
      </c>
      <c r="J18" s="5" t="s">
        <v>62</v>
      </c>
      <c r="K18" s="5" t="str">
        <f t="shared" si="0"/>
        <v>备注</v>
      </c>
    </row>
    <row r="19" spans="1:11" ht="21" customHeight="1" x14ac:dyDescent="0.25">
      <c r="A19" s="9">
        <f t="shared" si="4"/>
        <v>8</v>
      </c>
      <c r="B19" s="7" t="str">
        <f t="shared" si="4"/>
        <v>贵州航宇科技发展股份有限公司</v>
      </c>
      <c r="C19" s="5" t="s">
        <v>11</v>
      </c>
      <c r="D19" s="5" t="s">
        <v>57</v>
      </c>
      <c r="E19" s="5" t="s">
        <v>67</v>
      </c>
      <c r="F19" s="5">
        <v>2</v>
      </c>
      <c r="G19" s="5" t="s">
        <v>59</v>
      </c>
      <c r="H19" s="5" t="s">
        <v>60</v>
      </c>
      <c r="I19" s="5" t="s">
        <v>68</v>
      </c>
      <c r="J19" s="5" t="s">
        <v>62</v>
      </c>
      <c r="K19" s="5" t="str">
        <f t="shared" si="0"/>
        <v>备注</v>
      </c>
    </row>
    <row r="20" spans="1:11" ht="21" customHeight="1" x14ac:dyDescent="0.25">
      <c r="A20" s="31">
        <v>9</v>
      </c>
      <c r="B20" s="6" t="s">
        <v>69</v>
      </c>
      <c r="C20" s="5" t="s">
        <v>11</v>
      </c>
      <c r="D20" s="5" t="s">
        <v>70</v>
      </c>
      <c r="E20" s="5" t="s">
        <v>71</v>
      </c>
      <c r="F20" s="5">
        <v>2</v>
      </c>
      <c r="G20" s="5" t="s">
        <v>72</v>
      </c>
      <c r="H20" s="5" t="s">
        <v>73</v>
      </c>
      <c r="I20" s="5" t="s">
        <v>74</v>
      </c>
      <c r="J20" s="5" t="s">
        <v>75</v>
      </c>
      <c r="K20" s="5" t="str">
        <f t="shared" si="0"/>
        <v>备注</v>
      </c>
    </row>
    <row r="21" spans="1:11" ht="21" customHeight="1" x14ac:dyDescent="0.25">
      <c r="A21" s="9">
        <f t="shared" ref="A21:B21" si="5">A20</f>
        <v>9</v>
      </c>
      <c r="B21" s="7" t="str">
        <f t="shared" si="5"/>
        <v>中测高科（北京）人才测评中心有限公司贵州分公司</v>
      </c>
      <c r="C21" s="5" t="s">
        <v>11</v>
      </c>
      <c r="D21" s="5" t="s">
        <v>70</v>
      </c>
      <c r="E21" s="5" t="s">
        <v>76</v>
      </c>
      <c r="F21" s="5">
        <v>1</v>
      </c>
      <c r="G21" s="5" t="s">
        <v>77</v>
      </c>
      <c r="H21" s="5" t="s">
        <v>73</v>
      </c>
      <c r="I21" s="5" t="s">
        <v>78</v>
      </c>
      <c r="J21" s="5" t="s">
        <v>75</v>
      </c>
      <c r="K21" s="5" t="str">
        <f t="shared" si="0"/>
        <v>备注</v>
      </c>
    </row>
    <row r="22" spans="1:11" ht="21" customHeight="1" x14ac:dyDescent="0.25">
      <c r="A22" s="31">
        <v>10</v>
      </c>
      <c r="B22" s="6" t="s">
        <v>79</v>
      </c>
      <c r="C22" s="5" t="s">
        <v>11</v>
      </c>
      <c r="D22" s="5" t="s">
        <v>80</v>
      </c>
      <c r="E22" s="5" t="s">
        <v>81</v>
      </c>
      <c r="F22" s="5">
        <v>20</v>
      </c>
      <c r="G22" s="5" t="s">
        <v>82</v>
      </c>
      <c r="H22" s="5" t="s">
        <v>83</v>
      </c>
      <c r="I22" s="5" t="s">
        <v>84</v>
      </c>
      <c r="J22" s="5" t="s">
        <v>85</v>
      </c>
      <c r="K22" s="5" t="str">
        <f t="shared" si="0"/>
        <v>备注</v>
      </c>
    </row>
    <row r="23" spans="1:11" ht="21" customHeight="1" x14ac:dyDescent="0.25">
      <c r="A23" s="32">
        <f t="shared" ref="A23:B24" si="6">A22</f>
        <v>10</v>
      </c>
      <c r="B23" s="30" t="str">
        <f t="shared" si="6"/>
        <v>贵阳弗迪电池有限公司</v>
      </c>
      <c r="C23" s="5" t="s">
        <v>11</v>
      </c>
      <c r="D23" s="5" t="s">
        <v>80</v>
      </c>
      <c r="E23" s="5" t="s">
        <v>86</v>
      </c>
      <c r="F23" s="5">
        <v>20</v>
      </c>
      <c r="G23" s="5" t="s">
        <v>82</v>
      </c>
      <c r="H23" s="5" t="s">
        <v>83</v>
      </c>
      <c r="I23" s="5" t="s">
        <v>87</v>
      </c>
      <c r="J23" s="5" t="s">
        <v>85</v>
      </c>
      <c r="K23" s="5" t="str">
        <f t="shared" si="0"/>
        <v>备注</v>
      </c>
    </row>
    <row r="24" spans="1:11" ht="21" customHeight="1" x14ac:dyDescent="0.25">
      <c r="A24" s="9">
        <f t="shared" si="6"/>
        <v>10</v>
      </c>
      <c r="B24" s="7" t="str">
        <f t="shared" si="6"/>
        <v>贵阳弗迪电池有限公司</v>
      </c>
      <c r="C24" s="5" t="s">
        <v>11</v>
      </c>
      <c r="D24" s="5" t="s">
        <v>80</v>
      </c>
      <c r="E24" s="5" t="s">
        <v>88</v>
      </c>
      <c r="F24" s="5">
        <v>50</v>
      </c>
      <c r="G24" s="5" t="s">
        <v>82</v>
      </c>
      <c r="H24" s="5" t="s">
        <v>83</v>
      </c>
      <c r="I24" s="5" t="s">
        <v>87</v>
      </c>
      <c r="J24" s="5" t="s">
        <v>85</v>
      </c>
      <c r="K24" s="5" t="str">
        <f t="shared" si="0"/>
        <v>备注</v>
      </c>
    </row>
    <row r="25" spans="1:11" ht="21" customHeight="1" x14ac:dyDescent="0.25">
      <c r="A25" s="31">
        <v>11</v>
      </c>
      <c r="B25" s="6" t="s">
        <v>89</v>
      </c>
      <c r="C25" s="5" t="s">
        <v>11</v>
      </c>
      <c r="D25" s="5" t="s">
        <v>57</v>
      </c>
      <c r="E25" s="5" t="s">
        <v>90</v>
      </c>
      <c r="F25" s="5">
        <v>3</v>
      </c>
      <c r="G25" s="5" t="s">
        <v>91</v>
      </c>
      <c r="H25" s="5" t="s">
        <v>92</v>
      </c>
      <c r="I25" s="5" t="s">
        <v>93</v>
      </c>
      <c r="J25" s="5" t="s">
        <v>85</v>
      </c>
      <c r="K25" s="5" t="str">
        <f t="shared" si="0"/>
        <v>备注</v>
      </c>
    </row>
    <row r="26" spans="1:11" ht="21" customHeight="1" x14ac:dyDescent="0.25">
      <c r="A26" s="32">
        <f t="shared" ref="A26:B28" si="7">A25</f>
        <v>11</v>
      </c>
      <c r="B26" s="30" t="str">
        <f t="shared" si="7"/>
        <v>贵州东汇精密机电有限公司</v>
      </c>
      <c r="C26" s="5" t="s">
        <v>11</v>
      </c>
      <c r="D26" s="5" t="s">
        <v>57</v>
      </c>
      <c r="E26" s="5" t="s">
        <v>94</v>
      </c>
      <c r="F26" s="5">
        <v>3</v>
      </c>
      <c r="G26" s="5" t="s">
        <v>91</v>
      </c>
      <c r="H26" s="5" t="s">
        <v>92</v>
      </c>
      <c r="I26" s="5" t="s">
        <v>95</v>
      </c>
      <c r="J26" s="5" t="s">
        <v>85</v>
      </c>
      <c r="K26" s="5" t="str">
        <f t="shared" si="0"/>
        <v>备注</v>
      </c>
    </row>
    <row r="27" spans="1:11" ht="21" customHeight="1" x14ac:dyDescent="0.25">
      <c r="A27" s="32">
        <f t="shared" si="7"/>
        <v>11</v>
      </c>
      <c r="B27" s="30" t="str">
        <f t="shared" si="7"/>
        <v>贵州东汇精密机电有限公司</v>
      </c>
      <c r="C27" s="5" t="s">
        <v>11</v>
      </c>
      <c r="D27" s="5" t="s">
        <v>57</v>
      </c>
      <c r="E27" s="5" t="s">
        <v>96</v>
      </c>
      <c r="F27" s="5">
        <v>2</v>
      </c>
      <c r="G27" s="5" t="s">
        <v>91</v>
      </c>
      <c r="H27" s="5" t="s">
        <v>92</v>
      </c>
      <c r="I27" s="5" t="s">
        <v>97</v>
      </c>
      <c r="J27" s="5" t="s">
        <v>85</v>
      </c>
      <c r="K27" s="5" t="str">
        <f t="shared" si="0"/>
        <v>备注</v>
      </c>
    </row>
    <row r="28" spans="1:11" ht="21" customHeight="1" x14ac:dyDescent="0.25">
      <c r="A28" s="9">
        <f t="shared" si="7"/>
        <v>11</v>
      </c>
      <c r="B28" s="7" t="str">
        <f t="shared" si="7"/>
        <v>贵州东汇精密机电有限公司</v>
      </c>
      <c r="C28" s="5" t="s">
        <v>11</v>
      </c>
      <c r="D28" s="5" t="s">
        <v>57</v>
      </c>
      <c r="E28" s="5" t="s">
        <v>98</v>
      </c>
      <c r="F28" s="5">
        <v>2</v>
      </c>
      <c r="G28" s="5" t="s">
        <v>91</v>
      </c>
      <c r="H28" s="5" t="s">
        <v>92</v>
      </c>
      <c r="I28" s="5" t="s">
        <v>99</v>
      </c>
      <c r="J28" s="5" t="s">
        <v>85</v>
      </c>
      <c r="K28" s="5" t="str">
        <f t="shared" si="0"/>
        <v>备注</v>
      </c>
    </row>
    <row r="29" spans="1:11" ht="21" customHeight="1" x14ac:dyDescent="0.25">
      <c r="A29" s="31">
        <v>12</v>
      </c>
      <c r="B29" s="6" t="s">
        <v>100</v>
      </c>
      <c r="C29" s="5" t="s">
        <v>11</v>
      </c>
      <c r="D29" s="5" t="s">
        <v>101</v>
      </c>
      <c r="E29" s="5" t="s">
        <v>102</v>
      </c>
      <c r="F29" s="5">
        <v>3</v>
      </c>
      <c r="G29" s="5" t="s">
        <v>14</v>
      </c>
      <c r="H29" s="5" t="s">
        <v>15</v>
      </c>
      <c r="I29" s="5" t="s">
        <v>103</v>
      </c>
      <c r="J29" s="5" t="s">
        <v>85</v>
      </c>
      <c r="K29" s="5" t="str">
        <f t="shared" si="0"/>
        <v>备注</v>
      </c>
    </row>
    <row r="30" spans="1:11" ht="21" customHeight="1" x14ac:dyDescent="0.25">
      <c r="A30" s="9">
        <f t="shared" ref="A30:B30" si="8">A29</f>
        <v>12</v>
      </c>
      <c r="B30" s="7" t="str">
        <f t="shared" si="8"/>
        <v>橙树无人机科技（贵州）有限公司</v>
      </c>
      <c r="C30" s="5" t="s">
        <v>11</v>
      </c>
      <c r="D30" s="5" t="s">
        <v>101</v>
      </c>
      <c r="E30" s="5" t="s">
        <v>104</v>
      </c>
      <c r="F30" s="5">
        <v>2</v>
      </c>
      <c r="G30" s="5" t="s">
        <v>14</v>
      </c>
      <c r="H30" s="5" t="s">
        <v>15</v>
      </c>
      <c r="I30" s="5" t="s">
        <v>105</v>
      </c>
      <c r="J30" s="5" t="s">
        <v>85</v>
      </c>
      <c r="K30" s="5" t="str">
        <f t="shared" si="0"/>
        <v>备注</v>
      </c>
    </row>
    <row r="31" spans="1:11" ht="21" customHeight="1" x14ac:dyDescent="0.25">
      <c r="A31" s="31">
        <v>13</v>
      </c>
      <c r="B31" s="6" t="s">
        <v>106</v>
      </c>
      <c r="C31" s="5" t="s">
        <v>11</v>
      </c>
      <c r="D31" s="5" t="s">
        <v>20</v>
      </c>
      <c r="E31" s="5" t="s">
        <v>107</v>
      </c>
      <c r="F31" s="5">
        <v>1</v>
      </c>
      <c r="G31" s="5" t="s">
        <v>14</v>
      </c>
      <c r="H31" s="5" t="s">
        <v>15</v>
      </c>
      <c r="I31" s="5" t="s">
        <v>108</v>
      </c>
      <c r="J31" s="5" t="s">
        <v>85</v>
      </c>
      <c r="K31" s="5" t="str">
        <f t="shared" si="0"/>
        <v>备注</v>
      </c>
    </row>
    <row r="32" spans="1:11" ht="21" customHeight="1" x14ac:dyDescent="0.25">
      <c r="A32" s="9">
        <f t="shared" ref="A32:B32" si="9">A31</f>
        <v>13</v>
      </c>
      <c r="B32" s="7" t="str">
        <f t="shared" si="9"/>
        <v>贵州正启人力资源服务有限公司</v>
      </c>
      <c r="C32" s="5" t="s">
        <v>11</v>
      </c>
      <c r="D32" s="5" t="s">
        <v>20</v>
      </c>
      <c r="E32" s="5" t="s">
        <v>109</v>
      </c>
      <c r="F32" s="5">
        <v>3</v>
      </c>
      <c r="G32" s="5" t="s">
        <v>14</v>
      </c>
      <c r="H32" s="5" t="s">
        <v>15</v>
      </c>
      <c r="I32" s="5" t="s">
        <v>110</v>
      </c>
      <c r="J32" s="5" t="s">
        <v>85</v>
      </c>
      <c r="K32" s="5" t="str">
        <f t="shared" si="0"/>
        <v>备注</v>
      </c>
    </row>
    <row r="33" spans="1:11" ht="21" customHeight="1" x14ac:dyDescent="0.25">
      <c r="A33" s="5">
        <v>14</v>
      </c>
      <c r="B33" s="5" t="s">
        <v>111</v>
      </c>
      <c r="C33" s="5" t="s">
        <v>11</v>
      </c>
      <c r="D33" s="31" t="s">
        <v>112</v>
      </c>
      <c r="E33" s="10" t="s">
        <v>113</v>
      </c>
      <c r="F33" s="10">
        <v>1</v>
      </c>
      <c r="G33" s="5" t="s">
        <v>114</v>
      </c>
      <c r="H33" s="5" t="s">
        <v>60</v>
      </c>
      <c r="I33" s="5" t="s">
        <v>115</v>
      </c>
      <c r="J33" s="6" t="s">
        <v>116</v>
      </c>
      <c r="K33" s="6" t="s">
        <v>117</v>
      </c>
    </row>
    <row r="34" spans="1:11" ht="21" customHeight="1" x14ac:dyDescent="0.25">
      <c r="A34" s="5">
        <f t="shared" ref="A34:A43" si="10">A33</f>
        <v>14</v>
      </c>
      <c r="B34" s="5" t="str">
        <f t="shared" ref="B34:B43" si="11">B33</f>
        <v>贵州安达科技能源股份有限公司</v>
      </c>
      <c r="C34" s="5" t="str">
        <f t="shared" ref="C34:C43" si="12">C33</f>
        <v>民营企业</v>
      </c>
      <c r="D34" s="32" t="str">
        <f t="shared" ref="D34:D43" si="13">D33</f>
        <v>新能源</v>
      </c>
      <c r="E34" s="10" t="s">
        <v>118</v>
      </c>
      <c r="F34" s="10">
        <v>1</v>
      </c>
      <c r="G34" s="5" t="s">
        <v>119</v>
      </c>
      <c r="H34" s="5" t="s">
        <v>60</v>
      </c>
      <c r="I34" s="5" t="s">
        <v>120</v>
      </c>
      <c r="J34" s="30" t="str">
        <f t="shared" ref="J34:J43" si="14">J33</f>
        <v>贵阳市开阳县</v>
      </c>
      <c r="K34" s="30" t="str">
        <f t="shared" ref="K34:K43" si="15">K33</f>
        <v>代招展位1</v>
      </c>
    </row>
    <row r="35" spans="1:11" ht="21" customHeight="1" x14ac:dyDescent="0.25">
      <c r="A35" s="5">
        <f t="shared" si="10"/>
        <v>14</v>
      </c>
      <c r="B35" s="5" t="str">
        <f t="shared" si="11"/>
        <v>贵州安达科技能源股份有限公司</v>
      </c>
      <c r="C35" s="5" t="str">
        <f t="shared" si="12"/>
        <v>民营企业</v>
      </c>
      <c r="D35" s="32" t="str">
        <f t="shared" si="13"/>
        <v>新能源</v>
      </c>
      <c r="E35" s="10" t="s">
        <v>121</v>
      </c>
      <c r="F35" s="10">
        <v>2</v>
      </c>
      <c r="G35" s="5" t="s">
        <v>122</v>
      </c>
      <c r="H35" s="5" t="s">
        <v>60</v>
      </c>
      <c r="I35" s="5" t="s">
        <v>123</v>
      </c>
      <c r="J35" s="30" t="str">
        <f t="shared" si="14"/>
        <v>贵阳市开阳县</v>
      </c>
      <c r="K35" s="30" t="str">
        <f t="shared" si="15"/>
        <v>代招展位1</v>
      </c>
    </row>
    <row r="36" spans="1:11" ht="21" customHeight="1" x14ac:dyDescent="0.25">
      <c r="A36" s="5">
        <f t="shared" si="10"/>
        <v>14</v>
      </c>
      <c r="B36" s="5" t="str">
        <f t="shared" si="11"/>
        <v>贵州安达科技能源股份有限公司</v>
      </c>
      <c r="C36" s="5" t="str">
        <f t="shared" si="12"/>
        <v>民营企业</v>
      </c>
      <c r="D36" s="32" t="str">
        <f t="shared" si="13"/>
        <v>新能源</v>
      </c>
      <c r="E36" s="10" t="s">
        <v>124</v>
      </c>
      <c r="F36" s="10">
        <v>3</v>
      </c>
      <c r="G36" s="5" t="s">
        <v>125</v>
      </c>
      <c r="H36" s="5" t="s">
        <v>126</v>
      </c>
      <c r="I36" s="5" t="s">
        <v>127</v>
      </c>
      <c r="J36" s="30" t="str">
        <f t="shared" si="14"/>
        <v>贵阳市开阳县</v>
      </c>
      <c r="K36" s="30" t="str">
        <f t="shared" si="15"/>
        <v>代招展位1</v>
      </c>
    </row>
    <row r="37" spans="1:11" ht="21" customHeight="1" x14ac:dyDescent="0.25">
      <c r="A37" s="5">
        <f t="shared" si="10"/>
        <v>14</v>
      </c>
      <c r="B37" s="5" t="str">
        <f t="shared" si="11"/>
        <v>贵州安达科技能源股份有限公司</v>
      </c>
      <c r="C37" s="5" t="str">
        <f t="shared" si="12"/>
        <v>民营企业</v>
      </c>
      <c r="D37" s="32" t="str">
        <f t="shared" si="13"/>
        <v>新能源</v>
      </c>
      <c r="E37" s="5" t="s">
        <v>128</v>
      </c>
      <c r="F37" s="5">
        <v>2</v>
      </c>
      <c r="G37" s="5" t="s">
        <v>129</v>
      </c>
      <c r="H37" s="5" t="s">
        <v>60</v>
      </c>
      <c r="I37" s="5" t="s">
        <v>130</v>
      </c>
      <c r="J37" s="30" t="str">
        <f t="shared" si="14"/>
        <v>贵阳市开阳县</v>
      </c>
      <c r="K37" s="30" t="str">
        <f t="shared" si="15"/>
        <v>代招展位1</v>
      </c>
    </row>
    <row r="38" spans="1:11" ht="21" customHeight="1" x14ac:dyDescent="0.25">
      <c r="A38" s="5">
        <f t="shared" si="10"/>
        <v>14</v>
      </c>
      <c r="B38" s="5" t="str">
        <f t="shared" si="11"/>
        <v>贵州安达科技能源股份有限公司</v>
      </c>
      <c r="C38" s="5" t="str">
        <f t="shared" si="12"/>
        <v>民营企业</v>
      </c>
      <c r="D38" s="32" t="str">
        <f t="shared" si="13"/>
        <v>新能源</v>
      </c>
      <c r="E38" s="5" t="s">
        <v>131</v>
      </c>
      <c r="F38" s="5">
        <v>11</v>
      </c>
      <c r="G38" s="5" t="s">
        <v>132</v>
      </c>
      <c r="H38" s="5" t="s">
        <v>60</v>
      </c>
      <c r="I38" s="5" t="s">
        <v>133</v>
      </c>
      <c r="J38" s="30" t="str">
        <f t="shared" si="14"/>
        <v>贵阳市开阳县</v>
      </c>
      <c r="K38" s="30" t="str">
        <f t="shared" si="15"/>
        <v>代招展位1</v>
      </c>
    </row>
    <row r="39" spans="1:11" ht="21" customHeight="1" x14ac:dyDescent="0.25">
      <c r="A39" s="5">
        <f t="shared" si="10"/>
        <v>14</v>
      </c>
      <c r="B39" s="5" t="str">
        <f t="shared" si="11"/>
        <v>贵州安达科技能源股份有限公司</v>
      </c>
      <c r="C39" s="5" t="str">
        <f t="shared" si="12"/>
        <v>民营企业</v>
      </c>
      <c r="D39" s="32" t="str">
        <f t="shared" si="13"/>
        <v>新能源</v>
      </c>
      <c r="E39" s="10" t="s">
        <v>134</v>
      </c>
      <c r="F39" s="10">
        <v>5</v>
      </c>
      <c r="G39" s="5" t="s">
        <v>135</v>
      </c>
      <c r="H39" s="5" t="s">
        <v>60</v>
      </c>
      <c r="I39" s="5" t="s">
        <v>136</v>
      </c>
      <c r="J39" s="30" t="str">
        <f t="shared" si="14"/>
        <v>贵阳市开阳县</v>
      </c>
      <c r="K39" s="30" t="str">
        <f t="shared" si="15"/>
        <v>代招展位1</v>
      </c>
    </row>
    <row r="40" spans="1:11" ht="21" customHeight="1" x14ac:dyDescent="0.25">
      <c r="A40" s="5">
        <f t="shared" si="10"/>
        <v>14</v>
      </c>
      <c r="B40" s="5" t="str">
        <f t="shared" si="11"/>
        <v>贵州安达科技能源股份有限公司</v>
      </c>
      <c r="C40" s="5" t="str">
        <f t="shared" si="12"/>
        <v>民营企业</v>
      </c>
      <c r="D40" s="32" t="str">
        <f t="shared" si="13"/>
        <v>新能源</v>
      </c>
      <c r="E40" s="5" t="s">
        <v>137</v>
      </c>
      <c r="F40" s="5">
        <v>2</v>
      </c>
      <c r="G40" s="5" t="s">
        <v>132</v>
      </c>
      <c r="H40" s="5" t="s">
        <v>60</v>
      </c>
      <c r="I40" s="5" t="s">
        <v>138</v>
      </c>
      <c r="J40" s="30" t="str">
        <f t="shared" si="14"/>
        <v>贵阳市开阳县</v>
      </c>
      <c r="K40" s="30" t="str">
        <f t="shared" si="15"/>
        <v>代招展位1</v>
      </c>
    </row>
    <row r="41" spans="1:11" ht="21" customHeight="1" x14ac:dyDescent="0.25">
      <c r="A41" s="5">
        <f t="shared" si="10"/>
        <v>14</v>
      </c>
      <c r="B41" s="5" t="str">
        <f t="shared" si="11"/>
        <v>贵州安达科技能源股份有限公司</v>
      </c>
      <c r="C41" s="5" t="str">
        <f t="shared" si="12"/>
        <v>民营企业</v>
      </c>
      <c r="D41" s="32" t="str">
        <f t="shared" si="13"/>
        <v>新能源</v>
      </c>
      <c r="E41" s="5" t="s">
        <v>139</v>
      </c>
      <c r="F41" s="5">
        <v>5</v>
      </c>
      <c r="G41" s="5" t="s">
        <v>140</v>
      </c>
      <c r="H41" s="5" t="s">
        <v>60</v>
      </c>
      <c r="I41" s="5" t="s">
        <v>141</v>
      </c>
      <c r="J41" s="30" t="str">
        <f t="shared" si="14"/>
        <v>贵阳市开阳县</v>
      </c>
      <c r="K41" s="30" t="str">
        <f t="shared" si="15"/>
        <v>代招展位1</v>
      </c>
    </row>
    <row r="42" spans="1:11" ht="21" customHeight="1" x14ac:dyDescent="0.25">
      <c r="A42" s="5">
        <f t="shared" si="10"/>
        <v>14</v>
      </c>
      <c r="B42" s="5" t="str">
        <f t="shared" si="11"/>
        <v>贵州安达科技能源股份有限公司</v>
      </c>
      <c r="C42" s="5" t="str">
        <f t="shared" si="12"/>
        <v>民营企业</v>
      </c>
      <c r="D42" s="32" t="str">
        <f t="shared" si="13"/>
        <v>新能源</v>
      </c>
      <c r="E42" s="5" t="s">
        <v>142</v>
      </c>
      <c r="F42" s="5">
        <v>1</v>
      </c>
      <c r="G42" s="5" t="s">
        <v>143</v>
      </c>
      <c r="H42" s="5" t="s">
        <v>60</v>
      </c>
      <c r="I42" s="5" t="s">
        <v>144</v>
      </c>
      <c r="J42" s="30" t="str">
        <f t="shared" si="14"/>
        <v>贵阳市开阳县</v>
      </c>
      <c r="K42" s="30" t="str">
        <f t="shared" si="15"/>
        <v>代招展位1</v>
      </c>
    </row>
    <row r="43" spans="1:11" ht="21" customHeight="1" x14ac:dyDescent="0.25">
      <c r="A43" s="5">
        <f t="shared" si="10"/>
        <v>14</v>
      </c>
      <c r="B43" s="5" t="str">
        <f t="shared" si="11"/>
        <v>贵州安达科技能源股份有限公司</v>
      </c>
      <c r="C43" s="5" t="str">
        <f t="shared" si="12"/>
        <v>民营企业</v>
      </c>
      <c r="D43" s="9" t="str">
        <f t="shared" si="13"/>
        <v>新能源</v>
      </c>
      <c r="E43" s="5" t="s">
        <v>145</v>
      </c>
      <c r="F43" s="5">
        <v>1</v>
      </c>
      <c r="G43" s="5" t="s">
        <v>146</v>
      </c>
      <c r="H43" s="5" t="s">
        <v>60</v>
      </c>
      <c r="I43" s="5" t="s">
        <v>147</v>
      </c>
      <c r="J43" s="7" t="str">
        <f t="shared" si="14"/>
        <v>贵阳市开阳县</v>
      </c>
      <c r="K43" s="7" t="str">
        <f t="shared" si="15"/>
        <v>代招展位1</v>
      </c>
    </row>
    <row r="44" spans="1:11" ht="40.049999999999997" customHeight="1" x14ac:dyDescent="0.25">
      <c r="A44" s="5">
        <v>15</v>
      </c>
      <c r="B44" s="5" t="s">
        <v>148</v>
      </c>
      <c r="C44" s="5" t="s">
        <v>11</v>
      </c>
      <c r="D44" s="10" t="s">
        <v>12</v>
      </c>
      <c r="E44" s="5" t="s">
        <v>149</v>
      </c>
      <c r="F44" s="5">
        <v>2</v>
      </c>
      <c r="G44" s="5" t="s">
        <v>150</v>
      </c>
      <c r="H44" s="5" t="s">
        <v>73</v>
      </c>
      <c r="I44" s="5" t="s">
        <v>151</v>
      </c>
      <c r="J44" s="5" t="s">
        <v>116</v>
      </c>
      <c r="K44" s="11" t="s">
        <v>152</v>
      </c>
    </row>
    <row r="45" spans="1:11" ht="21" customHeight="1" x14ac:dyDescent="0.25">
      <c r="A45" s="5">
        <v>16</v>
      </c>
      <c r="B45" s="5" t="s">
        <v>153</v>
      </c>
      <c r="C45" s="5" t="s">
        <v>154</v>
      </c>
      <c r="D45" s="31" t="s">
        <v>155</v>
      </c>
      <c r="E45" s="5" t="s">
        <v>156</v>
      </c>
      <c r="F45" s="10">
        <v>5</v>
      </c>
      <c r="G45" s="5" t="s">
        <v>157</v>
      </c>
      <c r="H45" s="10" t="s">
        <v>158</v>
      </c>
      <c r="I45" s="5" t="s">
        <v>159</v>
      </c>
      <c r="J45" s="10" t="s">
        <v>160</v>
      </c>
      <c r="K45" s="6" t="s">
        <v>161</v>
      </c>
    </row>
    <row r="46" spans="1:11" ht="21" customHeight="1" x14ac:dyDescent="0.25">
      <c r="A46" s="5">
        <f t="shared" ref="A46:D47" si="16">A45</f>
        <v>16</v>
      </c>
      <c r="B46" s="5" t="str">
        <f t="shared" si="16"/>
        <v>中伟新材料股份有限公司</v>
      </c>
      <c r="C46" s="5" t="str">
        <f t="shared" si="16"/>
        <v>民营上市企业</v>
      </c>
      <c r="D46" s="32" t="str">
        <f t="shared" si="16"/>
        <v>机械制作</v>
      </c>
      <c r="E46" s="5" t="s">
        <v>162</v>
      </c>
      <c r="F46" s="10">
        <v>5</v>
      </c>
      <c r="G46" s="5" t="s">
        <v>163</v>
      </c>
      <c r="H46" s="10" t="s">
        <v>158</v>
      </c>
      <c r="I46" s="5" t="s">
        <v>164</v>
      </c>
      <c r="J46" s="10" t="s">
        <v>160</v>
      </c>
      <c r="K46" s="30" t="str">
        <f t="shared" ref="K46:K47" si="17">K45</f>
        <v>代招展位3</v>
      </c>
    </row>
    <row r="47" spans="1:11" ht="21" customHeight="1" x14ac:dyDescent="0.25">
      <c r="A47" s="5">
        <f t="shared" si="16"/>
        <v>16</v>
      </c>
      <c r="B47" s="5" t="str">
        <f t="shared" si="16"/>
        <v>中伟新材料股份有限公司</v>
      </c>
      <c r="C47" s="5" t="str">
        <f t="shared" si="16"/>
        <v>民营上市企业</v>
      </c>
      <c r="D47" s="9" t="str">
        <f t="shared" si="16"/>
        <v>机械制作</v>
      </c>
      <c r="E47" s="5" t="s">
        <v>165</v>
      </c>
      <c r="F47" s="10">
        <v>5</v>
      </c>
      <c r="G47" s="5" t="s">
        <v>166</v>
      </c>
      <c r="H47" s="10" t="s">
        <v>158</v>
      </c>
      <c r="I47" s="5" t="s">
        <v>167</v>
      </c>
      <c r="J47" s="10" t="s">
        <v>160</v>
      </c>
      <c r="K47" s="7" t="str">
        <f t="shared" si="17"/>
        <v>代招展位3</v>
      </c>
    </row>
    <row r="48" spans="1:11" ht="21" customHeight="1" x14ac:dyDescent="0.25">
      <c r="A48" s="6">
        <v>17</v>
      </c>
      <c r="B48" s="6" t="s">
        <v>168</v>
      </c>
      <c r="C48" s="6" t="s">
        <v>11</v>
      </c>
      <c r="D48" s="31" t="s">
        <v>169</v>
      </c>
      <c r="E48" s="5" t="s">
        <v>170</v>
      </c>
      <c r="F48" s="5">
        <v>2</v>
      </c>
      <c r="G48" s="5" t="s">
        <v>171</v>
      </c>
      <c r="H48" s="6" t="s">
        <v>172</v>
      </c>
      <c r="I48" s="6" t="s">
        <v>173</v>
      </c>
      <c r="J48" s="6" t="s">
        <v>174</v>
      </c>
      <c r="K48" s="6" t="s">
        <v>175</v>
      </c>
    </row>
    <row r="49" spans="1:11" ht="21" customHeight="1" x14ac:dyDescent="0.25">
      <c r="A49" s="30">
        <f t="shared" ref="A49:D54" si="18">A48</f>
        <v>17</v>
      </c>
      <c r="B49" s="30" t="str">
        <f t="shared" si="18"/>
        <v>贵州开阳双阳磷矿有限公司</v>
      </c>
      <c r="C49" s="30" t="str">
        <f t="shared" si="18"/>
        <v>民营企业</v>
      </c>
      <c r="D49" s="32" t="str">
        <f t="shared" si="18"/>
        <v>化工类</v>
      </c>
      <c r="E49" s="5" t="s">
        <v>176</v>
      </c>
      <c r="F49" s="5">
        <v>2</v>
      </c>
      <c r="G49" s="5" t="s">
        <v>177</v>
      </c>
      <c r="H49" s="30" t="str">
        <f t="shared" ref="H49:K54" si="19">H48</f>
        <v>本科及以上，硕士研究生优先考虑</v>
      </c>
      <c r="I49" s="30" t="str">
        <f t="shared" si="19"/>
        <v>有同行业或同岗位实习经历者优先考虑</v>
      </c>
      <c r="J49" s="30" t="str">
        <f t="shared" si="19"/>
        <v>贵州省贵阳市开阳县</v>
      </c>
      <c r="K49" s="30" t="str">
        <f t="shared" si="19"/>
        <v>代招展位4</v>
      </c>
    </row>
    <row r="50" spans="1:11" ht="21" customHeight="1" x14ac:dyDescent="0.25">
      <c r="A50" s="30">
        <f t="shared" si="18"/>
        <v>17</v>
      </c>
      <c r="B50" s="30" t="str">
        <f t="shared" si="18"/>
        <v>贵州开阳双阳磷矿有限公司</v>
      </c>
      <c r="C50" s="30" t="str">
        <f t="shared" si="18"/>
        <v>民营企业</v>
      </c>
      <c r="D50" s="32" t="str">
        <f t="shared" si="18"/>
        <v>化工类</v>
      </c>
      <c r="E50" s="5" t="s">
        <v>178</v>
      </c>
      <c r="F50" s="5">
        <v>2</v>
      </c>
      <c r="G50" s="5" t="s">
        <v>179</v>
      </c>
      <c r="H50" s="30" t="str">
        <f t="shared" si="19"/>
        <v>本科及以上，硕士研究生优先考虑</v>
      </c>
      <c r="I50" s="30" t="str">
        <f t="shared" si="19"/>
        <v>有同行业或同岗位实习经历者优先考虑</v>
      </c>
      <c r="J50" s="30" t="str">
        <f t="shared" si="19"/>
        <v>贵州省贵阳市开阳县</v>
      </c>
      <c r="K50" s="30" t="str">
        <f t="shared" si="19"/>
        <v>代招展位4</v>
      </c>
    </row>
    <row r="51" spans="1:11" ht="21" customHeight="1" x14ac:dyDescent="0.25">
      <c r="A51" s="30">
        <f t="shared" si="18"/>
        <v>17</v>
      </c>
      <c r="B51" s="30" t="str">
        <f t="shared" si="18"/>
        <v>贵州开阳双阳磷矿有限公司</v>
      </c>
      <c r="C51" s="30" t="str">
        <f t="shared" si="18"/>
        <v>民营企业</v>
      </c>
      <c r="D51" s="32" t="str">
        <f t="shared" si="18"/>
        <v>化工类</v>
      </c>
      <c r="E51" s="5" t="s">
        <v>180</v>
      </c>
      <c r="F51" s="5">
        <v>2</v>
      </c>
      <c r="G51" s="5" t="s">
        <v>181</v>
      </c>
      <c r="H51" s="30" t="str">
        <f t="shared" si="19"/>
        <v>本科及以上，硕士研究生优先考虑</v>
      </c>
      <c r="I51" s="30" t="str">
        <f t="shared" si="19"/>
        <v>有同行业或同岗位实习经历者优先考虑</v>
      </c>
      <c r="J51" s="30" t="str">
        <f t="shared" si="19"/>
        <v>贵州省贵阳市开阳县</v>
      </c>
      <c r="K51" s="30" t="str">
        <f t="shared" si="19"/>
        <v>代招展位4</v>
      </c>
    </row>
    <row r="52" spans="1:11" ht="21" customHeight="1" x14ac:dyDescent="0.25">
      <c r="A52" s="30">
        <f t="shared" si="18"/>
        <v>17</v>
      </c>
      <c r="B52" s="30" t="str">
        <f t="shared" si="18"/>
        <v>贵州开阳双阳磷矿有限公司</v>
      </c>
      <c r="C52" s="30" t="str">
        <f t="shared" si="18"/>
        <v>民营企业</v>
      </c>
      <c r="D52" s="32" t="str">
        <f t="shared" si="18"/>
        <v>化工类</v>
      </c>
      <c r="E52" s="5" t="s">
        <v>182</v>
      </c>
      <c r="F52" s="5">
        <v>2</v>
      </c>
      <c r="G52" s="5" t="s">
        <v>183</v>
      </c>
      <c r="H52" s="30" t="str">
        <f t="shared" si="19"/>
        <v>本科及以上，硕士研究生优先考虑</v>
      </c>
      <c r="I52" s="30" t="str">
        <f t="shared" si="19"/>
        <v>有同行业或同岗位实习经历者优先考虑</v>
      </c>
      <c r="J52" s="30" t="str">
        <f t="shared" si="19"/>
        <v>贵州省贵阳市开阳县</v>
      </c>
      <c r="K52" s="30" t="str">
        <f t="shared" si="19"/>
        <v>代招展位4</v>
      </c>
    </row>
    <row r="53" spans="1:11" ht="21" customHeight="1" x14ac:dyDescent="0.25">
      <c r="A53" s="30">
        <f t="shared" si="18"/>
        <v>17</v>
      </c>
      <c r="B53" s="30" t="str">
        <f t="shared" si="18"/>
        <v>贵州开阳双阳磷矿有限公司</v>
      </c>
      <c r="C53" s="30" t="str">
        <f t="shared" si="18"/>
        <v>民营企业</v>
      </c>
      <c r="D53" s="32" t="str">
        <f t="shared" si="18"/>
        <v>化工类</v>
      </c>
      <c r="E53" s="5" t="s">
        <v>184</v>
      </c>
      <c r="F53" s="5">
        <v>8</v>
      </c>
      <c r="G53" s="5" t="s">
        <v>185</v>
      </c>
      <c r="H53" s="30" t="str">
        <f t="shared" si="19"/>
        <v>本科及以上，硕士研究生优先考虑</v>
      </c>
      <c r="I53" s="30" t="str">
        <f t="shared" si="19"/>
        <v>有同行业或同岗位实习经历者优先考虑</v>
      </c>
      <c r="J53" s="30" t="str">
        <f t="shared" si="19"/>
        <v>贵州省贵阳市开阳县</v>
      </c>
      <c r="K53" s="30" t="str">
        <f t="shared" si="19"/>
        <v>代招展位4</v>
      </c>
    </row>
    <row r="54" spans="1:11" ht="21" customHeight="1" x14ac:dyDescent="0.25">
      <c r="A54" s="7">
        <f t="shared" si="18"/>
        <v>17</v>
      </c>
      <c r="B54" s="30" t="str">
        <f t="shared" si="18"/>
        <v>贵州开阳双阳磷矿有限公司</v>
      </c>
      <c r="C54" s="7" t="str">
        <f t="shared" si="18"/>
        <v>民营企业</v>
      </c>
      <c r="D54" s="9" t="str">
        <f t="shared" si="18"/>
        <v>化工类</v>
      </c>
      <c r="E54" s="6" t="s">
        <v>186</v>
      </c>
      <c r="F54" s="6">
        <v>5</v>
      </c>
      <c r="G54" s="6" t="s">
        <v>187</v>
      </c>
      <c r="H54" s="30" t="str">
        <f t="shared" si="19"/>
        <v>本科及以上，硕士研究生优先考虑</v>
      </c>
      <c r="I54" s="7" t="str">
        <f t="shared" si="19"/>
        <v>有同行业或同岗位实习经历者优先考虑</v>
      </c>
      <c r="J54" s="30" t="str">
        <f t="shared" si="19"/>
        <v>贵州省贵阳市开阳县</v>
      </c>
      <c r="K54" s="7" t="str">
        <f t="shared" si="19"/>
        <v>代招展位4</v>
      </c>
    </row>
    <row r="55" spans="1:11" ht="21" customHeight="1" x14ac:dyDescent="0.25">
      <c r="A55" s="6">
        <v>18</v>
      </c>
      <c r="B55" s="6" t="s">
        <v>188</v>
      </c>
      <c r="C55" s="6" t="s">
        <v>11</v>
      </c>
      <c r="D55" s="31" t="s">
        <v>169</v>
      </c>
      <c r="E55" s="5" t="s">
        <v>189</v>
      </c>
      <c r="F55" s="5">
        <v>5</v>
      </c>
      <c r="G55" s="5" t="s">
        <v>190</v>
      </c>
      <c r="H55" s="6" t="s">
        <v>172</v>
      </c>
      <c r="I55" s="6" t="s">
        <v>173</v>
      </c>
      <c r="J55" s="6" t="s">
        <v>174</v>
      </c>
      <c r="K55" s="6" t="s">
        <v>175</v>
      </c>
    </row>
    <row r="56" spans="1:11" ht="21" customHeight="1" x14ac:dyDescent="0.25">
      <c r="A56" s="30">
        <f t="shared" ref="A56:D61" si="20">A55</f>
        <v>18</v>
      </c>
      <c r="B56" s="30" t="str">
        <f t="shared" si="20"/>
        <v>贵州中合磷化有限公司</v>
      </c>
      <c r="C56" s="30" t="str">
        <f t="shared" si="20"/>
        <v>民营企业</v>
      </c>
      <c r="D56" s="32" t="str">
        <f t="shared" si="20"/>
        <v>化工类</v>
      </c>
      <c r="E56" s="5" t="s">
        <v>191</v>
      </c>
      <c r="F56" s="5">
        <v>5</v>
      </c>
      <c r="G56" s="5" t="s">
        <v>192</v>
      </c>
      <c r="H56" s="30" t="str">
        <f t="shared" ref="H56:K61" si="21">H55</f>
        <v>本科及以上，硕士研究生优先考虑</v>
      </c>
      <c r="I56" s="30" t="str">
        <f t="shared" si="21"/>
        <v>有同行业或同岗位实习经历者优先考虑</v>
      </c>
      <c r="J56" s="30" t="str">
        <f t="shared" si="21"/>
        <v>贵州省贵阳市开阳县</v>
      </c>
      <c r="K56" s="30" t="str">
        <f t="shared" si="21"/>
        <v>代招展位4</v>
      </c>
    </row>
    <row r="57" spans="1:11" ht="21" customHeight="1" x14ac:dyDescent="0.25">
      <c r="A57" s="30">
        <f t="shared" si="20"/>
        <v>18</v>
      </c>
      <c r="B57" s="30" t="str">
        <f t="shared" si="20"/>
        <v>贵州中合磷化有限公司</v>
      </c>
      <c r="C57" s="30" t="str">
        <f t="shared" si="20"/>
        <v>民营企业</v>
      </c>
      <c r="D57" s="32" t="str">
        <f t="shared" si="20"/>
        <v>化工类</v>
      </c>
      <c r="E57" s="5" t="s">
        <v>184</v>
      </c>
      <c r="F57" s="5">
        <v>8</v>
      </c>
      <c r="G57" s="5" t="s">
        <v>193</v>
      </c>
      <c r="H57" s="30" t="str">
        <f t="shared" si="21"/>
        <v>本科及以上，硕士研究生优先考虑</v>
      </c>
      <c r="I57" s="30" t="str">
        <f t="shared" si="21"/>
        <v>有同行业或同岗位实习经历者优先考虑</v>
      </c>
      <c r="J57" s="30" t="str">
        <f t="shared" si="21"/>
        <v>贵州省贵阳市开阳县</v>
      </c>
      <c r="K57" s="30" t="str">
        <f t="shared" si="21"/>
        <v>代招展位4</v>
      </c>
    </row>
    <row r="58" spans="1:11" ht="21" customHeight="1" x14ac:dyDescent="0.25">
      <c r="A58" s="30">
        <f t="shared" si="20"/>
        <v>18</v>
      </c>
      <c r="B58" s="30" t="str">
        <f t="shared" si="20"/>
        <v>贵州中合磷化有限公司</v>
      </c>
      <c r="C58" s="30" t="str">
        <f t="shared" si="20"/>
        <v>民营企业</v>
      </c>
      <c r="D58" s="32" t="str">
        <f t="shared" si="20"/>
        <v>化工类</v>
      </c>
      <c r="E58" s="5" t="s">
        <v>194</v>
      </c>
      <c r="F58" s="5">
        <v>5</v>
      </c>
      <c r="G58" s="5" t="s">
        <v>195</v>
      </c>
      <c r="H58" s="30" t="str">
        <f t="shared" si="21"/>
        <v>本科及以上，硕士研究生优先考虑</v>
      </c>
      <c r="I58" s="30" t="str">
        <f t="shared" si="21"/>
        <v>有同行业或同岗位实习经历者优先考虑</v>
      </c>
      <c r="J58" s="30" t="str">
        <f t="shared" si="21"/>
        <v>贵州省贵阳市开阳县</v>
      </c>
      <c r="K58" s="30" t="str">
        <f t="shared" si="21"/>
        <v>代招展位4</v>
      </c>
    </row>
    <row r="59" spans="1:11" ht="21" customHeight="1" x14ac:dyDescent="0.25">
      <c r="A59" s="30">
        <f t="shared" si="20"/>
        <v>18</v>
      </c>
      <c r="B59" s="30" t="str">
        <f t="shared" si="20"/>
        <v>贵州中合磷化有限公司</v>
      </c>
      <c r="C59" s="30" t="str">
        <f t="shared" si="20"/>
        <v>民营企业</v>
      </c>
      <c r="D59" s="32" t="str">
        <f t="shared" si="20"/>
        <v>化工类</v>
      </c>
      <c r="E59" s="5" t="s">
        <v>196</v>
      </c>
      <c r="F59" s="5">
        <v>2</v>
      </c>
      <c r="G59" s="5" t="s">
        <v>197</v>
      </c>
      <c r="H59" s="30" t="str">
        <f t="shared" si="21"/>
        <v>本科及以上，硕士研究生优先考虑</v>
      </c>
      <c r="I59" s="30" t="str">
        <f t="shared" si="21"/>
        <v>有同行业或同岗位实习经历者优先考虑</v>
      </c>
      <c r="J59" s="30" t="str">
        <f t="shared" si="21"/>
        <v>贵州省贵阳市开阳县</v>
      </c>
      <c r="K59" s="30" t="str">
        <f t="shared" si="21"/>
        <v>代招展位4</v>
      </c>
    </row>
    <row r="60" spans="1:11" ht="21" customHeight="1" x14ac:dyDescent="0.25">
      <c r="A60" s="30">
        <f t="shared" si="20"/>
        <v>18</v>
      </c>
      <c r="B60" s="30" t="str">
        <f t="shared" si="20"/>
        <v>贵州中合磷化有限公司</v>
      </c>
      <c r="C60" s="30" t="str">
        <f t="shared" si="20"/>
        <v>民营企业</v>
      </c>
      <c r="D60" s="32" t="str">
        <f t="shared" si="20"/>
        <v>化工类</v>
      </c>
      <c r="E60" s="5" t="s">
        <v>198</v>
      </c>
      <c r="F60" s="5">
        <v>2</v>
      </c>
      <c r="G60" s="5" t="s">
        <v>199</v>
      </c>
      <c r="H60" s="30" t="str">
        <f t="shared" si="21"/>
        <v>本科及以上，硕士研究生优先考虑</v>
      </c>
      <c r="I60" s="30" t="str">
        <f t="shared" si="21"/>
        <v>有同行业或同岗位实习经历者优先考虑</v>
      </c>
      <c r="J60" s="30" t="str">
        <f t="shared" si="21"/>
        <v>贵州省贵阳市开阳县</v>
      </c>
      <c r="K60" s="30" t="str">
        <f t="shared" si="21"/>
        <v>代招展位4</v>
      </c>
    </row>
    <row r="61" spans="1:11" ht="21" customHeight="1" x14ac:dyDescent="0.25">
      <c r="A61" s="7">
        <f t="shared" si="20"/>
        <v>18</v>
      </c>
      <c r="B61" s="30" t="str">
        <f t="shared" si="20"/>
        <v>贵州中合磷化有限公司</v>
      </c>
      <c r="C61" s="7" t="str">
        <f t="shared" si="20"/>
        <v>民营企业</v>
      </c>
      <c r="D61" s="9" t="str">
        <f t="shared" si="20"/>
        <v>化工类</v>
      </c>
      <c r="E61" s="6" t="s">
        <v>186</v>
      </c>
      <c r="F61" s="6">
        <v>5</v>
      </c>
      <c r="G61" s="6" t="s">
        <v>187</v>
      </c>
      <c r="H61" s="30" t="str">
        <f t="shared" si="21"/>
        <v>本科及以上，硕士研究生优先考虑</v>
      </c>
      <c r="I61" s="7" t="str">
        <f t="shared" si="21"/>
        <v>有同行业或同岗位实习经历者优先考虑</v>
      </c>
      <c r="J61" s="30" t="str">
        <f t="shared" si="21"/>
        <v>贵州省贵阳市开阳县</v>
      </c>
      <c r="K61" s="7" t="str">
        <f t="shared" si="21"/>
        <v>代招展位4</v>
      </c>
    </row>
    <row r="62" spans="1:11" ht="21" customHeight="1" x14ac:dyDescent="0.25">
      <c r="A62" s="5">
        <v>19</v>
      </c>
      <c r="B62" s="5" t="s">
        <v>200</v>
      </c>
      <c r="C62" s="5" t="s">
        <v>11</v>
      </c>
      <c r="D62" s="31" t="s">
        <v>169</v>
      </c>
      <c r="E62" s="5" t="s">
        <v>189</v>
      </c>
      <c r="F62" s="5">
        <v>5</v>
      </c>
      <c r="G62" s="5" t="s">
        <v>190</v>
      </c>
      <c r="H62" s="5" t="s">
        <v>172</v>
      </c>
      <c r="I62" s="5" t="s">
        <v>173</v>
      </c>
      <c r="J62" s="5" t="s">
        <v>174</v>
      </c>
      <c r="K62" s="5" t="s">
        <v>175</v>
      </c>
    </row>
    <row r="63" spans="1:11" ht="21" customHeight="1" x14ac:dyDescent="0.25">
      <c r="A63" s="5">
        <f t="shared" ref="A63:D68" si="22">A62</f>
        <v>19</v>
      </c>
      <c r="B63" s="5" t="str">
        <f t="shared" si="22"/>
        <v>贵州中合磷碳科技有限公司</v>
      </c>
      <c r="C63" s="5" t="str">
        <f t="shared" si="22"/>
        <v>民营企业</v>
      </c>
      <c r="D63" s="32" t="str">
        <f t="shared" si="22"/>
        <v>化工类</v>
      </c>
      <c r="E63" s="5" t="s">
        <v>191</v>
      </c>
      <c r="F63" s="5">
        <v>5</v>
      </c>
      <c r="G63" s="5" t="s">
        <v>192</v>
      </c>
      <c r="H63" s="5" t="str">
        <f t="shared" ref="H63:J68" si="23">H62</f>
        <v>本科及以上，硕士研究生优先考虑</v>
      </c>
      <c r="I63" s="5" t="str">
        <f t="shared" si="23"/>
        <v>有同行业或同岗位实习经历者优先考虑</v>
      </c>
      <c r="J63" s="5" t="str">
        <f t="shared" si="23"/>
        <v>贵州省贵阳市开阳县</v>
      </c>
      <c r="K63" s="5" t="str">
        <f t="shared" ref="K63:K86" si="24">K62</f>
        <v>代招展位4</v>
      </c>
    </row>
    <row r="64" spans="1:11" ht="21" customHeight="1" x14ac:dyDescent="0.25">
      <c r="A64" s="5">
        <f t="shared" si="22"/>
        <v>19</v>
      </c>
      <c r="B64" s="5" t="str">
        <f t="shared" si="22"/>
        <v>贵州中合磷碳科技有限公司</v>
      </c>
      <c r="C64" s="5" t="str">
        <f t="shared" si="22"/>
        <v>民营企业</v>
      </c>
      <c r="D64" s="32" t="str">
        <f t="shared" si="22"/>
        <v>化工类</v>
      </c>
      <c r="E64" s="5" t="s">
        <v>184</v>
      </c>
      <c r="F64" s="5">
        <v>8</v>
      </c>
      <c r="G64" s="5" t="s">
        <v>185</v>
      </c>
      <c r="H64" s="5" t="str">
        <f t="shared" si="23"/>
        <v>本科及以上，硕士研究生优先考虑</v>
      </c>
      <c r="I64" s="5" t="str">
        <f t="shared" si="23"/>
        <v>有同行业或同岗位实习经历者优先考虑</v>
      </c>
      <c r="J64" s="5" t="str">
        <f t="shared" si="23"/>
        <v>贵州省贵阳市开阳县</v>
      </c>
      <c r="K64" s="5" t="str">
        <f t="shared" si="24"/>
        <v>代招展位4</v>
      </c>
    </row>
    <row r="65" spans="1:11" ht="21" customHeight="1" x14ac:dyDescent="0.25">
      <c r="A65" s="5">
        <f t="shared" si="22"/>
        <v>19</v>
      </c>
      <c r="B65" s="5" t="str">
        <f t="shared" si="22"/>
        <v>贵州中合磷碳科技有限公司</v>
      </c>
      <c r="C65" s="5" t="str">
        <f t="shared" si="22"/>
        <v>民营企业</v>
      </c>
      <c r="D65" s="32" t="str">
        <f t="shared" si="22"/>
        <v>化工类</v>
      </c>
      <c r="E65" s="5" t="s">
        <v>194</v>
      </c>
      <c r="F65" s="5">
        <v>5</v>
      </c>
      <c r="G65" s="5" t="s">
        <v>195</v>
      </c>
      <c r="H65" s="5" t="str">
        <f t="shared" si="23"/>
        <v>本科及以上，硕士研究生优先考虑</v>
      </c>
      <c r="I65" s="5" t="str">
        <f t="shared" si="23"/>
        <v>有同行业或同岗位实习经历者优先考虑</v>
      </c>
      <c r="J65" s="5" t="str">
        <f t="shared" si="23"/>
        <v>贵州省贵阳市开阳县</v>
      </c>
      <c r="K65" s="5" t="str">
        <f t="shared" si="24"/>
        <v>代招展位4</v>
      </c>
    </row>
    <row r="66" spans="1:11" ht="21" customHeight="1" x14ac:dyDescent="0.25">
      <c r="A66" s="5">
        <f t="shared" si="22"/>
        <v>19</v>
      </c>
      <c r="B66" s="5" t="str">
        <f t="shared" si="22"/>
        <v>贵州中合磷碳科技有限公司</v>
      </c>
      <c r="C66" s="5" t="str">
        <f t="shared" si="22"/>
        <v>民营企业</v>
      </c>
      <c r="D66" s="32" t="str">
        <f t="shared" si="22"/>
        <v>化工类</v>
      </c>
      <c r="E66" s="5" t="s">
        <v>196</v>
      </c>
      <c r="F66" s="5">
        <v>2</v>
      </c>
      <c r="G66" s="5" t="s">
        <v>197</v>
      </c>
      <c r="H66" s="5" t="str">
        <f t="shared" si="23"/>
        <v>本科及以上，硕士研究生优先考虑</v>
      </c>
      <c r="I66" s="5" t="str">
        <f t="shared" si="23"/>
        <v>有同行业或同岗位实习经历者优先考虑</v>
      </c>
      <c r="J66" s="5" t="str">
        <f t="shared" si="23"/>
        <v>贵州省贵阳市开阳县</v>
      </c>
      <c r="K66" s="5" t="str">
        <f t="shared" si="24"/>
        <v>代招展位4</v>
      </c>
    </row>
    <row r="67" spans="1:11" ht="21" customHeight="1" x14ac:dyDescent="0.25">
      <c r="A67" s="5">
        <f t="shared" si="22"/>
        <v>19</v>
      </c>
      <c r="B67" s="5" t="str">
        <f t="shared" si="22"/>
        <v>贵州中合磷碳科技有限公司</v>
      </c>
      <c r="C67" s="5" t="str">
        <f t="shared" si="22"/>
        <v>民营企业</v>
      </c>
      <c r="D67" s="32" t="str">
        <f t="shared" si="22"/>
        <v>化工类</v>
      </c>
      <c r="E67" s="5" t="s">
        <v>198</v>
      </c>
      <c r="F67" s="5">
        <v>2</v>
      </c>
      <c r="G67" s="5" t="s">
        <v>199</v>
      </c>
      <c r="H67" s="5" t="str">
        <f t="shared" si="23"/>
        <v>本科及以上，硕士研究生优先考虑</v>
      </c>
      <c r="I67" s="5" t="str">
        <f t="shared" si="23"/>
        <v>有同行业或同岗位实习经历者优先考虑</v>
      </c>
      <c r="J67" s="5" t="str">
        <f t="shared" si="23"/>
        <v>贵州省贵阳市开阳县</v>
      </c>
      <c r="K67" s="5" t="str">
        <f t="shared" si="24"/>
        <v>代招展位4</v>
      </c>
    </row>
    <row r="68" spans="1:11" ht="21" customHeight="1" x14ac:dyDescent="0.25">
      <c r="A68" s="5">
        <f t="shared" si="22"/>
        <v>19</v>
      </c>
      <c r="B68" s="5" t="str">
        <f t="shared" si="22"/>
        <v>贵州中合磷碳科技有限公司</v>
      </c>
      <c r="C68" s="5" t="str">
        <f t="shared" si="22"/>
        <v>民营企业</v>
      </c>
      <c r="D68" s="9" t="str">
        <f t="shared" si="22"/>
        <v>化工类</v>
      </c>
      <c r="E68" s="5" t="s">
        <v>186</v>
      </c>
      <c r="F68" s="5">
        <v>5</v>
      </c>
      <c r="G68" s="5" t="s">
        <v>187</v>
      </c>
      <c r="H68" s="5" t="str">
        <f t="shared" si="23"/>
        <v>本科及以上，硕士研究生优先考虑</v>
      </c>
      <c r="I68" s="5" t="str">
        <f t="shared" si="23"/>
        <v>有同行业或同岗位实习经历者优先考虑</v>
      </c>
      <c r="J68" s="5" t="str">
        <f t="shared" si="23"/>
        <v>贵州省贵阳市开阳县</v>
      </c>
      <c r="K68" s="5" t="str">
        <f t="shared" si="24"/>
        <v>代招展位4</v>
      </c>
    </row>
    <row r="69" spans="1:11" ht="21" customHeight="1" x14ac:dyDescent="0.25">
      <c r="A69" s="12">
        <v>20</v>
      </c>
      <c r="B69" s="35" t="s">
        <v>201</v>
      </c>
      <c r="C69" s="12" t="s">
        <v>11</v>
      </c>
      <c r="D69" s="12" t="s">
        <v>202</v>
      </c>
      <c r="E69" s="13" t="s">
        <v>203</v>
      </c>
      <c r="F69" s="13">
        <v>10</v>
      </c>
      <c r="G69" s="13" t="s">
        <v>14</v>
      </c>
      <c r="H69" s="13" t="s">
        <v>204</v>
      </c>
      <c r="I69" s="13" t="s">
        <v>205</v>
      </c>
      <c r="J69" s="13" t="s">
        <v>206</v>
      </c>
      <c r="K69" s="13" t="str">
        <f t="shared" si="24"/>
        <v>代招展位4</v>
      </c>
    </row>
    <row r="70" spans="1:11" ht="21" customHeight="1" x14ac:dyDescent="0.25">
      <c r="A70" s="33">
        <f t="shared" ref="A70:D71" si="25">A69</f>
        <v>20</v>
      </c>
      <c r="B70" s="36" t="str">
        <f t="shared" si="25"/>
        <v>贵州智博汇人才服务有限公司</v>
      </c>
      <c r="C70" s="33" t="str">
        <f t="shared" si="25"/>
        <v>民营企业</v>
      </c>
      <c r="D70" s="33" t="str">
        <f t="shared" si="25"/>
        <v>服务业</v>
      </c>
      <c r="E70" s="13" t="s">
        <v>207</v>
      </c>
      <c r="F70" s="13">
        <v>10</v>
      </c>
      <c r="G70" s="13" t="s">
        <v>14</v>
      </c>
      <c r="H70" s="13" t="s">
        <v>204</v>
      </c>
      <c r="I70" s="13" t="s">
        <v>205</v>
      </c>
      <c r="J70" s="13" t="s">
        <v>206</v>
      </c>
      <c r="K70" s="13" t="str">
        <f t="shared" si="24"/>
        <v>代招展位4</v>
      </c>
    </row>
    <row r="71" spans="1:11" ht="21" customHeight="1" x14ac:dyDescent="0.25">
      <c r="A71" s="34">
        <f t="shared" si="25"/>
        <v>20</v>
      </c>
      <c r="B71" s="37" t="str">
        <f t="shared" si="25"/>
        <v>贵州智博汇人才服务有限公司</v>
      </c>
      <c r="C71" s="34" t="str">
        <f t="shared" si="25"/>
        <v>民营企业</v>
      </c>
      <c r="D71" s="34" t="str">
        <f t="shared" si="25"/>
        <v>服务业</v>
      </c>
      <c r="E71" s="13" t="s">
        <v>45</v>
      </c>
      <c r="F71" s="13">
        <v>4</v>
      </c>
      <c r="G71" s="13" t="s">
        <v>14</v>
      </c>
      <c r="H71" s="13" t="s">
        <v>204</v>
      </c>
      <c r="I71" s="13" t="s">
        <v>205</v>
      </c>
      <c r="J71" s="13" t="s">
        <v>206</v>
      </c>
      <c r="K71" s="13" t="str">
        <f t="shared" si="24"/>
        <v>代招展位4</v>
      </c>
    </row>
    <row r="72" spans="1:11" ht="48" customHeight="1" x14ac:dyDescent="0.25">
      <c r="A72" s="13">
        <v>21</v>
      </c>
      <c r="B72" s="13" t="s">
        <v>208</v>
      </c>
      <c r="C72" s="13" t="s">
        <v>209</v>
      </c>
      <c r="D72" s="13" t="s">
        <v>210</v>
      </c>
      <c r="E72" s="13" t="s">
        <v>211</v>
      </c>
      <c r="F72" s="13">
        <v>5</v>
      </c>
      <c r="G72" s="13" t="s">
        <v>14</v>
      </c>
      <c r="H72" s="13" t="s">
        <v>212</v>
      </c>
      <c r="I72" s="13" t="s">
        <v>213</v>
      </c>
      <c r="J72" s="13" t="s">
        <v>214</v>
      </c>
      <c r="K72" s="13" t="str">
        <f t="shared" si="24"/>
        <v>代招展位4</v>
      </c>
    </row>
    <row r="73" spans="1:11" ht="48" customHeight="1" x14ac:dyDescent="0.25">
      <c r="A73" s="12">
        <v>22</v>
      </c>
      <c r="B73" s="12" t="s">
        <v>215</v>
      </c>
      <c r="C73" s="12" t="s">
        <v>209</v>
      </c>
      <c r="D73" s="12" t="s">
        <v>216</v>
      </c>
      <c r="E73" s="12" t="s">
        <v>217</v>
      </c>
      <c r="F73" s="12">
        <v>30</v>
      </c>
      <c r="G73" s="12" t="s">
        <v>218</v>
      </c>
      <c r="H73" s="12" t="s">
        <v>204</v>
      </c>
      <c r="I73" s="18" t="s">
        <v>14</v>
      </c>
      <c r="J73" s="12" t="s">
        <v>219</v>
      </c>
      <c r="K73" s="12" t="str">
        <f t="shared" si="24"/>
        <v>代招展位4</v>
      </c>
    </row>
    <row r="74" spans="1:11" ht="21" customHeight="1" x14ac:dyDescent="0.25">
      <c r="A74" s="14">
        <v>23</v>
      </c>
      <c r="B74" s="14" t="s">
        <v>220</v>
      </c>
      <c r="C74" s="14" t="s">
        <v>209</v>
      </c>
      <c r="D74" s="14" t="s">
        <v>221</v>
      </c>
      <c r="E74" s="14" t="s">
        <v>222</v>
      </c>
      <c r="F74" s="14">
        <v>5</v>
      </c>
      <c r="G74" s="14" t="s">
        <v>223</v>
      </c>
      <c r="H74" s="14" t="s">
        <v>204</v>
      </c>
      <c r="I74" s="14" t="s">
        <v>224</v>
      </c>
      <c r="J74" s="14" t="s">
        <v>225</v>
      </c>
      <c r="K74" s="14" t="str">
        <f t="shared" si="24"/>
        <v>代招展位4</v>
      </c>
    </row>
    <row r="75" spans="1:11" ht="21" customHeight="1" x14ac:dyDescent="0.25">
      <c r="A75" s="14">
        <f t="shared" ref="A75:D79" si="26">A74</f>
        <v>23</v>
      </c>
      <c r="B75" s="14" t="str">
        <f t="shared" si="26"/>
        <v>贵州广铝氧化铝有限公司</v>
      </c>
      <c r="C75" s="14" t="str">
        <f t="shared" si="26"/>
        <v>私营企业</v>
      </c>
      <c r="D75" s="14" t="str">
        <f t="shared" si="26"/>
        <v>制造业</v>
      </c>
      <c r="E75" s="14" t="s">
        <v>226</v>
      </c>
      <c r="F75" s="14">
        <v>5</v>
      </c>
      <c r="G75" s="14" t="s">
        <v>227</v>
      </c>
      <c r="H75" s="14" t="s">
        <v>204</v>
      </c>
      <c r="I75" s="14" t="s">
        <v>228</v>
      </c>
      <c r="J75" s="14" t="str">
        <f t="shared" ref="J75:J79" si="27">J74</f>
        <v>贵州省贵阳市清镇市站街镇站南路36号</v>
      </c>
      <c r="K75" s="14" t="str">
        <f t="shared" si="24"/>
        <v>代招展位4</v>
      </c>
    </row>
    <row r="76" spans="1:11" ht="21" customHeight="1" x14ac:dyDescent="0.25">
      <c r="A76" s="14">
        <f t="shared" si="26"/>
        <v>23</v>
      </c>
      <c r="B76" s="14" t="str">
        <f t="shared" si="26"/>
        <v>贵州广铝氧化铝有限公司</v>
      </c>
      <c r="C76" s="14" t="str">
        <f t="shared" si="26"/>
        <v>私营企业</v>
      </c>
      <c r="D76" s="14" t="str">
        <f t="shared" si="26"/>
        <v>制造业</v>
      </c>
      <c r="E76" s="5" t="s">
        <v>229</v>
      </c>
      <c r="F76" s="5">
        <v>10</v>
      </c>
      <c r="G76" s="5" t="s">
        <v>14</v>
      </c>
      <c r="H76" s="14" t="s">
        <v>204</v>
      </c>
      <c r="I76" s="5" t="s">
        <v>230</v>
      </c>
      <c r="J76" s="14" t="str">
        <f t="shared" si="27"/>
        <v>贵州省贵阳市清镇市站街镇站南路36号</v>
      </c>
      <c r="K76" s="14" t="str">
        <f t="shared" si="24"/>
        <v>代招展位4</v>
      </c>
    </row>
    <row r="77" spans="1:11" ht="21" customHeight="1" x14ac:dyDescent="0.25">
      <c r="A77" s="14">
        <f t="shared" si="26"/>
        <v>23</v>
      </c>
      <c r="B77" s="14" t="str">
        <f t="shared" si="26"/>
        <v>贵州广铝氧化铝有限公司</v>
      </c>
      <c r="C77" s="14" t="str">
        <f t="shared" si="26"/>
        <v>私营企业</v>
      </c>
      <c r="D77" s="14" t="str">
        <f t="shared" si="26"/>
        <v>制造业</v>
      </c>
      <c r="E77" s="5" t="s">
        <v>231</v>
      </c>
      <c r="F77" s="5">
        <v>5</v>
      </c>
      <c r="G77" s="5" t="s">
        <v>232</v>
      </c>
      <c r="H77" s="14" t="s">
        <v>204</v>
      </c>
      <c r="I77" s="5" t="s">
        <v>233</v>
      </c>
      <c r="J77" s="14" t="str">
        <f t="shared" si="27"/>
        <v>贵州省贵阳市清镇市站街镇站南路36号</v>
      </c>
      <c r="K77" s="14" t="str">
        <f t="shared" si="24"/>
        <v>代招展位4</v>
      </c>
    </row>
    <row r="78" spans="1:11" ht="21" customHeight="1" x14ac:dyDescent="0.25">
      <c r="A78" s="14">
        <f t="shared" si="26"/>
        <v>23</v>
      </c>
      <c r="B78" s="14" t="str">
        <f t="shared" si="26"/>
        <v>贵州广铝氧化铝有限公司</v>
      </c>
      <c r="C78" s="14" t="str">
        <f t="shared" si="26"/>
        <v>私营企业</v>
      </c>
      <c r="D78" s="14" t="str">
        <f t="shared" si="26"/>
        <v>制造业</v>
      </c>
      <c r="E78" s="5" t="s">
        <v>234</v>
      </c>
      <c r="F78" s="5">
        <v>5</v>
      </c>
      <c r="G78" s="5" t="s">
        <v>235</v>
      </c>
      <c r="H78" s="14" t="s">
        <v>204</v>
      </c>
      <c r="I78" s="5" t="s">
        <v>236</v>
      </c>
      <c r="J78" s="14" t="str">
        <f t="shared" si="27"/>
        <v>贵州省贵阳市清镇市站街镇站南路36号</v>
      </c>
      <c r="K78" s="14" t="str">
        <f t="shared" si="24"/>
        <v>代招展位4</v>
      </c>
    </row>
    <row r="79" spans="1:11" ht="21" customHeight="1" x14ac:dyDescent="0.25">
      <c r="A79" s="14">
        <f t="shared" si="26"/>
        <v>23</v>
      </c>
      <c r="B79" s="14" t="str">
        <f t="shared" si="26"/>
        <v>贵州广铝氧化铝有限公司</v>
      </c>
      <c r="C79" s="14" t="str">
        <f t="shared" si="26"/>
        <v>私营企业</v>
      </c>
      <c r="D79" s="14" t="str">
        <f t="shared" si="26"/>
        <v>制造业</v>
      </c>
      <c r="E79" s="5" t="s">
        <v>237</v>
      </c>
      <c r="F79" s="5">
        <v>5</v>
      </c>
      <c r="G79" s="5" t="s">
        <v>238</v>
      </c>
      <c r="H79" s="14" t="s">
        <v>204</v>
      </c>
      <c r="I79" s="5" t="s">
        <v>239</v>
      </c>
      <c r="J79" s="14" t="str">
        <f t="shared" si="27"/>
        <v>贵州省贵阳市清镇市站街镇站南路36号</v>
      </c>
      <c r="K79" s="14" t="str">
        <f t="shared" si="24"/>
        <v>代招展位4</v>
      </c>
    </row>
    <row r="80" spans="1:11" ht="21" customHeight="1" x14ac:dyDescent="0.25">
      <c r="A80" s="10">
        <v>24</v>
      </c>
      <c r="B80" s="5" t="s">
        <v>240</v>
      </c>
      <c r="C80" s="10" t="s">
        <v>209</v>
      </c>
      <c r="D80" s="10" t="s">
        <v>202</v>
      </c>
      <c r="E80" s="10" t="s">
        <v>241</v>
      </c>
      <c r="F80" s="10">
        <v>15</v>
      </c>
      <c r="G80" s="10" t="s">
        <v>14</v>
      </c>
      <c r="H80" s="14" t="s">
        <v>204</v>
      </c>
      <c r="I80" s="5" t="s">
        <v>242</v>
      </c>
      <c r="J80" s="5" t="s">
        <v>243</v>
      </c>
      <c r="K80" s="10" t="str">
        <f t="shared" si="24"/>
        <v>代招展位4</v>
      </c>
    </row>
    <row r="81" spans="1:11" ht="21" customHeight="1" x14ac:dyDescent="0.25">
      <c r="A81" s="10">
        <f t="shared" ref="A81:D82" si="28">A80</f>
        <v>24</v>
      </c>
      <c r="B81" s="5" t="str">
        <f t="shared" si="28"/>
        <v>贵州库课教育科技有限公司</v>
      </c>
      <c r="C81" s="10" t="str">
        <f t="shared" si="28"/>
        <v>私营企业</v>
      </c>
      <c r="D81" s="10" t="str">
        <f t="shared" si="28"/>
        <v>服务业</v>
      </c>
      <c r="E81" s="10" t="s">
        <v>244</v>
      </c>
      <c r="F81" s="10">
        <v>2</v>
      </c>
      <c r="G81" s="10" t="str">
        <f t="shared" ref="G81:G82" si="29">G80</f>
        <v>不限</v>
      </c>
      <c r="H81" s="14" t="s">
        <v>204</v>
      </c>
      <c r="I81" s="5" t="str">
        <f t="shared" ref="I81:I84" si="30">I80</f>
        <v>校学生会或学生干部优先</v>
      </c>
      <c r="J81" s="5" t="str">
        <f t="shared" ref="J81:J82" si="31">J80</f>
        <v>清镇市滨湖街道职教路2号</v>
      </c>
      <c r="K81" s="10" t="str">
        <f t="shared" si="24"/>
        <v>代招展位4</v>
      </c>
    </row>
    <row r="82" spans="1:11" ht="21" customHeight="1" x14ac:dyDescent="0.25">
      <c r="A82" s="10">
        <f t="shared" si="28"/>
        <v>24</v>
      </c>
      <c r="B82" s="5" t="str">
        <f t="shared" si="28"/>
        <v>贵州库课教育科技有限公司</v>
      </c>
      <c r="C82" s="10" t="str">
        <f t="shared" si="28"/>
        <v>私营企业</v>
      </c>
      <c r="D82" s="10" t="str">
        <f t="shared" si="28"/>
        <v>服务业</v>
      </c>
      <c r="E82" s="10" t="s">
        <v>104</v>
      </c>
      <c r="F82" s="10">
        <v>3</v>
      </c>
      <c r="G82" s="10" t="str">
        <f t="shared" si="29"/>
        <v>不限</v>
      </c>
      <c r="H82" s="14" t="s">
        <v>204</v>
      </c>
      <c r="I82" s="5" t="str">
        <f t="shared" si="30"/>
        <v>校学生会或学生干部优先</v>
      </c>
      <c r="J82" s="5" t="str">
        <f t="shared" si="31"/>
        <v>清镇市滨湖街道职教路2号</v>
      </c>
      <c r="K82" s="10" t="str">
        <f t="shared" si="24"/>
        <v>代招展位4</v>
      </c>
    </row>
    <row r="83" spans="1:11" ht="21" customHeight="1" x14ac:dyDescent="0.25">
      <c r="A83" s="6">
        <v>25</v>
      </c>
      <c r="B83" s="6" t="s">
        <v>245</v>
      </c>
      <c r="C83" s="6" t="s">
        <v>11</v>
      </c>
      <c r="D83" s="6" t="s">
        <v>246</v>
      </c>
      <c r="E83" s="5" t="s">
        <v>247</v>
      </c>
      <c r="F83" s="5">
        <v>10</v>
      </c>
      <c r="G83" s="5" t="s">
        <v>248</v>
      </c>
      <c r="H83" s="5" t="s">
        <v>15</v>
      </c>
      <c r="I83" s="5" t="str">
        <f t="shared" si="30"/>
        <v>校学生会或学生干部优先</v>
      </c>
      <c r="J83" s="5" t="s">
        <v>249</v>
      </c>
      <c r="K83" s="5" t="str">
        <f t="shared" si="24"/>
        <v>代招展位4</v>
      </c>
    </row>
    <row r="84" spans="1:11" ht="21" customHeight="1" x14ac:dyDescent="0.25">
      <c r="A84" s="7">
        <f t="shared" ref="A84:D84" si="32">A83</f>
        <v>25</v>
      </c>
      <c r="B84" s="7" t="str">
        <f t="shared" si="32"/>
        <v>贵州尚医堂医药科技有限公司</v>
      </c>
      <c r="C84" s="7" t="str">
        <f t="shared" si="32"/>
        <v>民营企业</v>
      </c>
      <c r="D84" s="7" t="str">
        <f t="shared" si="32"/>
        <v>医疗卫生</v>
      </c>
      <c r="E84" s="5" t="s">
        <v>250</v>
      </c>
      <c r="F84" s="5">
        <v>1</v>
      </c>
      <c r="G84" s="5" t="s">
        <v>251</v>
      </c>
      <c r="H84" s="5" t="s">
        <v>15</v>
      </c>
      <c r="I84" s="5" t="str">
        <f t="shared" si="30"/>
        <v>校学生会或学生干部优先</v>
      </c>
      <c r="J84" s="5" t="s">
        <v>249</v>
      </c>
      <c r="K84" s="5" t="str">
        <f t="shared" si="24"/>
        <v>代招展位4</v>
      </c>
    </row>
    <row r="85" spans="1:11" ht="45" customHeight="1" x14ac:dyDescent="0.25">
      <c r="A85" s="5">
        <v>26</v>
      </c>
      <c r="B85" s="5" t="s">
        <v>252</v>
      </c>
      <c r="C85" s="5" t="s">
        <v>11</v>
      </c>
      <c r="D85" s="5" t="s">
        <v>20</v>
      </c>
      <c r="E85" s="5" t="s">
        <v>253</v>
      </c>
      <c r="F85" s="5">
        <v>1</v>
      </c>
      <c r="G85" s="5" t="s">
        <v>254</v>
      </c>
      <c r="H85" s="5" t="s">
        <v>92</v>
      </c>
      <c r="I85" s="5" t="s">
        <v>255</v>
      </c>
      <c r="J85" s="5" t="s">
        <v>249</v>
      </c>
      <c r="K85" s="5" t="str">
        <f t="shared" si="24"/>
        <v>代招展位4</v>
      </c>
    </row>
    <row r="86" spans="1:11" ht="21" customHeight="1" x14ac:dyDescent="0.25">
      <c r="A86" s="6">
        <v>27</v>
      </c>
      <c r="B86" s="6" t="s">
        <v>256</v>
      </c>
      <c r="C86" s="6" t="s">
        <v>11</v>
      </c>
      <c r="D86" s="6" t="s">
        <v>12</v>
      </c>
      <c r="E86" s="5" t="s">
        <v>257</v>
      </c>
      <c r="F86" s="5">
        <v>50</v>
      </c>
      <c r="G86" s="5" t="s">
        <v>14</v>
      </c>
      <c r="H86" s="5" t="s">
        <v>15</v>
      </c>
      <c r="I86" s="5" t="str">
        <f t="shared" ref="I86:I90" si="33">I85</f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86" s="6" t="s">
        <v>258</v>
      </c>
      <c r="K86" s="5" t="str">
        <f t="shared" si="24"/>
        <v>代招展位4</v>
      </c>
    </row>
    <row r="87" spans="1:11" ht="21" customHeight="1" x14ac:dyDescent="0.25">
      <c r="A87" s="30">
        <f t="shared" ref="A87:D89" si="34">A86</f>
        <v>27</v>
      </c>
      <c r="B87" s="30" t="str">
        <f t="shared" si="34"/>
        <v>贵州壹集科技有限公司</v>
      </c>
      <c r="C87" s="30" t="str">
        <f t="shared" si="34"/>
        <v>民营企业</v>
      </c>
      <c r="D87" s="30" t="str">
        <f t="shared" si="34"/>
        <v>大数据</v>
      </c>
      <c r="E87" s="5" t="s">
        <v>259</v>
      </c>
      <c r="F87" s="5">
        <v>50</v>
      </c>
      <c r="G87" s="5" t="s">
        <v>14</v>
      </c>
      <c r="H87" s="5" t="s">
        <v>15</v>
      </c>
      <c r="I87" s="5" t="str">
        <f t="shared" si="33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87" s="30" t="str">
        <f t="shared" ref="J87:K89" si="35">J86</f>
        <v>贵州省贵阳市贵州双龙航空港经济区龙洞堡街道“经典天成”住宅小区日1号楼1单元8层1号</v>
      </c>
      <c r="K87" s="5" t="str">
        <f t="shared" si="35"/>
        <v>代招展位4</v>
      </c>
    </row>
    <row r="88" spans="1:11" ht="21" customHeight="1" x14ac:dyDescent="0.25">
      <c r="A88" s="30">
        <f t="shared" si="34"/>
        <v>27</v>
      </c>
      <c r="B88" s="30" t="str">
        <f t="shared" si="34"/>
        <v>贵州壹集科技有限公司</v>
      </c>
      <c r="C88" s="30" t="str">
        <f t="shared" si="34"/>
        <v>民营企业</v>
      </c>
      <c r="D88" s="30" t="str">
        <f t="shared" si="34"/>
        <v>大数据</v>
      </c>
      <c r="E88" s="5" t="s">
        <v>260</v>
      </c>
      <c r="F88" s="5">
        <v>50</v>
      </c>
      <c r="G88" s="5" t="s">
        <v>14</v>
      </c>
      <c r="H88" s="5" t="s">
        <v>15</v>
      </c>
      <c r="I88" s="5" t="str">
        <f t="shared" si="33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88" s="30" t="str">
        <f t="shared" si="35"/>
        <v>贵州省贵阳市贵州双龙航空港经济区龙洞堡街道“经典天成”住宅小区日1号楼1单元8层1号</v>
      </c>
      <c r="K88" s="5" t="str">
        <f t="shared" si="35"/>
        <v>代招展位4</v>
      </c>
    </row>
    <row r="89" spans="1:11" ht="21" customHeight="1" x14ac:dyDescent="0.25">
      <c r="A89" s="7">
        <f t="shared" si="34"/>
        <v>27</v>
      </c>
      <c r="B89" s="7" t="str">
        <f t="shared" si="34"/>
        <v>贵州壹集科技有限公司</v>
      </c>
      <c r="C89" s="7" t="str">
        <f t="shared" si="34"/>
        <v>民营企业</v>
      </c>
      <c r="D89" s="7" t="str">
        <f t="shared" si="34"/>
        <v>大数据</v>
      </c>
      <c r="E89" s="5" t="s">
        <v>261</v>
      </c>
      <c r="F89" s="5">
        <v>50</v>
      </c>
      <c r="G89" s="5" t="s">
        <v>14</v>
      </c>
      <c r="H89" s="5" t="s">
        <v>15</v>
      </c>
      <c r="I89" s="5" t="str">
        <f t="shared" si="33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89" s="7" t="str">
        <f t="shared" si="35"/>
        <v>贵州省贵阳市贵州双龙航空港经济区龙洞堡街道“经典天成”住宅小区日1号楼1单元8层1号</v>
      </c>
      <c r="K89" s="5" t="str">
        <f t="shared" si="35"/>
        <v>代招展位4</v>
      </c>
    </row>
    <row r="90" spans="1:11" ht="21" customHeight="1" x14ac:dyDescent="0.25">
      <c r="A90" s="6">
        <v>28</v>
      </c>
      <c r="B90" s="6" t="s">
        <v>262</v>
      </c>
      <c r="C90" s="6" t="s">
        <v>11</v>
      </c>
      <c r="D90" s="6" t="s">
        <v>12</v>
      </c>
      <c r="E90" s="5" t="s">
        <v>263</v>
      </c>
      <c r="F90" s="5">
        <v>1</v>
      </c>
      <c r="G90" s="5" t="s">
        <v>264</v>
      </c>
      <c r="H90" s="5" t="s">
        <v>92</v>
      </c>
      <c r="I90" s="5" t="str">
        <f t="shared" si="33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90" s="6" t="s">
        <v>265</v>
      </c>
      <c r="K90" s="6" t="s">
        <v>266</v>
      </c>
    </row>
    <row r="91" spans="1:11" ht="21" customHeight="1" x14ac:dyDescent="0.25">
      <c r="A91" s="30">
        <f t="shared" ref="A91:A107" si="36">A90</f>
        <v>28</v>
      </c>
      <c r="B91" s="30" t="str">
        <f t="shared" ref="B91:B107" si="37">B90</f>
        <v>贵州戴玛科技有限公司</v>
      </c>
      <c r="C91" s="30" t="str">
        <f t="shared" ref="C91:C107" si="38">C90</f>
        <v>民营企业</v>
      </c>
      <c r="D91" s="30" t="str">
        <f t="shared" ref="D91:D107" si="39">D90</f>
        <v>大数据</v>
      </c>
      <c r="E91" s="5" t="s">
        <v>267</v>
      </c>
      <c r="F91" s="5">
        <v>1</v>
      </c>
      <c r="G91" s="5" t="s">
        <v>268</v>
      </c>
      <c r="H91" s="5" t="s">
        <v>92</v>
      </c>
      <c r="I91" s="5" t="str">
        <f t="shared" ref="I91:I107" si="40">I90</f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91" s="30" t="str">
        <f t="shared" ref="J91:J107" si="41">J90</f>
        <v>贵阳市南明区见龙洞路103号</v>
      </c>
      <c r="K91" s="30" t="str">
        <f t="shared" ref="K91:K122" si="42">K90</f>
        <v>基本工资、五险一金、双休、项目奖金、提成、年终奖金、带薪年假</v>
      </c>
    </row>
    <row r="92" spans="1:11" ht="21" customHeight="1" x14ac:dyDescent="0.25">
      <c r="A92" s="30">
        <f t="shared" si="36"/>
        <v>28</v>
      </c>
      <c r="B92" s="30" t="str">
        <f t="shared" si="37"/>
        <v>贵州戴玛科技有限公司</v>
      </c>
      <c r="C92" s="30" t="str">
        <f t="shared" si="38"/>
        <v>民营企业</v>
      </c>
      <c r="D92" s="30" t="str">
        <f t="shared" si="39"/>
        <v>大数据</v>
      </c>
      <c r="E92" s="5" t="s">
        <v>269</v>
      </c>
      <c r="F92" s="5">
        <v>1</v>
      </c>
      <c r="G92" s="5" t="s">
        <v>270</v>
      </c>
      <c r="H92" s="5" t="s">
        <v>92</v>
      </c>
      <c r="I92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92" s="30" t="str">
        <f t="shared" si="41"/>
        <v>贵阳市南明区见龙洞路103号</v>
      </c>
      <c r="K92" s="30" t="str">
        <f t="shared" si="42"/>
        <v>基本工资、五险一金、双休、项目奖金、提成、年终奖金、带薪年假</v>
      </c>
    </row>
    <row r="93" spans="1:11" ht="21" customHeight="1" x14ac:dyDescent="0.25">
      <c r="A93" s="30">
        <f t="shared" si="36"/>
        <v>28</v>
      </c>
      <c r="B93" s="30" t="str">
        <f t="shared" si="37"/>
        <v>贵州戴玛科技有限公司</v>
      </c>
      <c r="C93" s="30" t="str">
        <f t="shared" si="38"/>
        <v>民营企业</v>
      </c>
      <c r="D93" s="30" t="str">
        <f t="shared" si="39"/>
        <v>大数据</v>
      </c>
      <c r="E93" s="5" t="s">
        <v>271</v>
      </c>
      <c r="F93" s="5">
        <v>3</v>
      </c>
      <c r="G93" s="5" t="s">
        <v>264</v>
      </c>
      <c r="H93" s="5" t="s">
        <v>92</v>
      </c>
      <c r="I93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93" s="30" t="str">
        <f t="shared" si="41"/>
        <v>贵阳市南明区见龙洞路103号</v>
      </c>
      <c r="K93" s="30" t="str">
        <f t="shared" si="42"/>
        <v>基本工资、五险一金、双休、项目奖金、提成、年终奖金、带薪年假</v>
      </c>
    </row>
    <row r="94" spans="1:11" ht="21" customHeight="1" x14ac:dyDescent="0.25">
      <c r="A94" s="30">
        <f t="shared" si="36"/>
        <v>28</v>
      </c>
      <c r="B94" s="30" t="str">
        <f t="shared" si="37"/>
        <v>贵州戴玛科技有限公司</v>
      </c>
      <c r="C94" s="30" t="str">
        <f t="shared" si="38"/>
        <v>民营企业</v>
      </c>
      <c r="D94" s="30" t="str">
        <f t="shared" si="39"/>
        <v>大数据</v>
      </c>
      <c r="E94" s="5" t="s">
        <v>272</v>
      </c>
      <c r="F94" s="5">
        <v>1</v>
      </c>
      <c r="G94" s="5" t="s">
        <v>273</v>
      </c>
      <c r="H94" s="5" t="s">
        <v>92</v>
      </c>
      <c r="I94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94" s="30" t="str">
        <f t="shared" si="41"/>
        <v>贵阳市南明区见龙洞路103号</v>
      </c>
      <c r="K94" s="30" t="str">
        <f t="shared" si="42"/>
        <v>基本工资、五险一金、双休、项目奖金、提成、年终奖金、带薪年假</v>
      </c>
    </row>
    <row r="95" spans="1:11" ht="21" customHeight="1" x14ac:dyDescent="0.25">
      <c r="A95" s="30">
        <f t="shared" si="36"/>
        <v>28</v>
      </c>
      <c r="B95" s="30" t="str">
        <f t="shared" si="37"/>
        <v>贵州戴玛科技有限公司</v>
      </c>
      <c r="C95" s="30" t="str">
        <f t="shared" si="38"/>
        <v>民营企业</v>
      </c>
      <c r="D95" s="30" t="str">
        <f t="shared" si="39"/>
        <v>大数据</v>
      </c>
      <c r="E95" s="5" t="s">
        <v>274</v>
      </c>
      <c r="F95" s="5">
        <v>1</v>
      </c>
      <c r="G95" s="5" t="s">
        <v>275</v>
      </c>
      <c r="H95" s="5" t="s">
        <v>92</v>
      </c>
      <c r="I95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95" s="30" t="str">
        <f t="shared" si="41"/>
        <v>贵阳市南明区见龙洞路103号</v>
      </c>
      <c r="K95" s="30" t="str">
        <f t="shared" si="42"/>
        <v>基本工资、五险一金、双休、项目奖金、提成、年终奖金、带薪年假</v>
      </c>
    </row>
    <row r="96" spans="1:11" ht="21" customHeight="1" x14ac:dyDescent="0.25">
      <c r="A96" s="30">
        <f t="shared" si="36"/>
        <v>28</v>
      </c>
      <c r="B96" s="30" t="str">
        <f t="shared" si="37"/>
        <v>贵州戴玛科技有限公司</v>
      </c>
      <c r="C96" s="30" t="str">
        <f t="shared" si="38"/>
        <v>民营企业</v>
      </c>
      <c r="D96" s="30" t="str">
        <f t="shared" si="39"/>
        <v>大数据</v>
      </c>
      <c r="E96" s="5" t="s">
        <v>276</v>
      </c>
      <c r="F96" s="5">
        <v>5</v>
      </c>
      <c r="G96" s="5" t="s">
        <v>275</v>
      </c>
      <c r="H96" s="5" t="s">
        <v>15</v>
      </c>
      <c r="I96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96" s="30" t="str">
        <f t="shared" si="41"/>
        <v>贵阳市南明区见龙洞路103号</v>
      </c>
      <c r="K96" s="30" t="str">
        <f t="shared" si="42"/>
        <v>基本工资、五险一金、双休、项目奖金、提成、年终奖金、带薪年假</v>
      </c>
    </row>
    <row r="97" spans="1:11" ht="21" customHeight="1" x14ac:dyDescent="0.25">
      <c r="A97" s="30">
        <f t="shared" si="36"/>
        <v>28</v>
      </c>
      <c r="B97" s="30" t="str">
        <f t="shared" si="37"/>
        <v>贵州戴玛科技有限公司</v>
      </c>
      <c r="C97" s="30" t="str">
        <f t="shared" si="38"/>
        <v>民营企业</v>
      </c>
      <c r="D97" s="30" t="str">
        <f t="shared" si="39"/>
        <v>大数据</v>
      </c>
      <c r="E97" s="5" t="s">
        <v>277</v>
      </c>
      <c r="F97" s="5">
        <v>1</v>
      </c>
      <c r="G97" s="5" t="s">
        <v>275</v>
      </c>
      <c r="H97" s="5" t="s">
        <v>15</v>
      </c>
      <c r="I97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97" s="30" t="str">
        <f t="shared" si="41"/>
        <v>贵阳市南明区见龙洞路103号</v>
      </c>
      <c r="K97" s="30" t="str">
        <f t="shared" si="42"/>
        <v>基本工资、五险一金、双休、项目奖金、提成、年终奖金、带薪年假</v>
      </c>
    </row>
    <row r="98" spans="1:11" ht="21" customHeight="1" x14ac:dyDescent="0.25">
      <c r="A98" s="30">
        <f t="shared" si="36"/>
        <v>28</v>
      </c>
      <c r="B98" s="30" t="str">
        <f t="shared" si="37"/>
        <v>贵州戴玛科技有限公司</v>
      </c>
      <c r="C98" s="30" t="str">
        <f t="shared" si="38"/>
        <v>民营企业</v>
      </c>
      <c r="D98" s="30" t="str">
        <f t="shared" si="39"/>
        <v>大数据</v>
      </c>
      <c r="E98" s="5" t="s">
        <v>278</v>
      </c>
      <c r="F98" s="5">
        <v>2</v>
      </c>
      <c r="G98" s="5" t="s">
        <v>275</v>
      </c>
      <c r="H98" s="5" t="s">
        <v>92</v>
      </c>
      <c r="I98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98" s="30" t="str">
        <f t="shared" si="41"/>
        <v>贵阳市南明区见龙洞路103号</v>
      </c>
      <c r="K98" s="30" t="str">
        <f t="shared" si="42"/>
        <v>基本工资、五险一金、双休、项目奖金、提成、年终奖金、带薪年假</v>
      </c>
    </row>
    <row r="99" spans="1:11" ht="21" customHeight="1" x14ac:dyDescent="0.25">
      <c r="A99" s="30">
        <f t="shared" si="36"/>
        <v>28</v>
      </c>
      <c r="B99" s="30" t="str">
        <f t="shared" si="37"/>
        <v>贵州戴玛科技有限公司</v>
      </c>
      <c r="C99" s="30" t="str">
        <f t="shared" si="38"/>
        <v>民营企业</v>
      </c>
      <c r="D99" s="30" t="str">
        <f t="shared" si="39"/>
        <v>大数据</v>
      </c>
      <c r="E99" s="5" t="s">
        <v>279</v>
      </c>
      <c r="F99" s="5">
        <v>1</v>
      </c>
      <c r="G99" s="5" t="s">
        <v>280</v>
      </c>
      <c r="H99" s="5" t="s">
        <v>15</v>
      </c>
      <c r="I99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99" s="30" t="str">
        <f t="shared" si="41"/>
        <v>贵阳市南明区见龙洞路103号</v>
      </c>
      <c r="K99" s="30" t="str">
        <f t="shared" si="42"/>
        <v>基本工资、五险一金、双休、项目奖金、提成、年终奖金、带薪年假</v>
      </c>
    </row>
    <row r="100" spans="1:11" ht="21" customHeight="1" x14ac:dyDescent="0.25">
      <c r="A100" s="30">
        <f t="shared" si="36"/>
        <v>28</v>
      </c>
      <c r="B100" s="30" t="str">
        <f t="shared" si="37"/>
        <v>贵州戴玛科技有限公司</v>
      </c>
      <c r="C100" s="30" t="str">
        <f t="shared" si="38"/>
        <v>民营企业</v>
      </c>
      <c r="D100" s="30" t="str">
        <f t="shared" si="39"/>
        <v>大数据</v>
      </c>
      <c r="E100" s="5" t="s">
        <v>281</v>
      </c>
      <c r="F100" s="5">
        <v>1</v>
      </c>
      <c r="G100" s="5" t="s">
        <v>264</v>
      </c>
      <c r="H100" s="5" t="s">
        <v>15</v>
      </c>
      <c r="I100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100" s="30" t="str">
        <f t="shared" si="41"/>
        <v>贵阳市南明区见龙洞路103号</v>
      </c>
      <c r="K100" s="30" t="str">
        <f t="shared" si="42"/>
        <v>基本工资、五险一金、双休、项目奖金、提成、年终奖金、带薪年假</v>
      </c>
    </row>
    <row r="101" spans="1:11" ht="21" customHeight="1" x14ac:dyDescent="0.25">
      <c r="A101" s="30">
        <f t="shared" si="36"/>
        <v>28</v>
      </c>
      <c r="B101" s="30" t="str">
        <f t="shared" si="37"/>
        <v>贵州戴玛科技有限公司</v>
      </c>
      <c r="C101" s="30" t="str">
        <f t="shared" si="38"/>
        <v>民营企业</v>
      </c>
      <c r="D101" s="30" t="str">
        <f t="shared" si="39"/>
        <v>大数据</v>
      </c>
      <c r="E101" s="5" t="s">
        <v>282</v>
      </c>
      <c r="F101" s="5">
        <v>2</v>
      </c>
      <c r="G101" s="5" t="s">
        <v>283</v>
      </c>
      <c r="H101" s="5" t="s">
        <v>15</v>
      </c>
      <c r="I101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101" s="30" t="str">
        <f t="shared" si="41"/>
        <v>贵阳市南明区见龙洞路103号</v>
      </c>
      <c r="K101" s="30" t="str">
        <f t="shared" si="42"/>
        <v>基本工资、五险一金、双休、项目奖金、提成、年终奖金、带薪年假</v>
      </c>
    </row>
    <row r="102" spans="1:11" ht="21" customHeight="1" x14ac:dyDescent="0.25">
      <c r="A102" s="30">
        <f t="shared" si="36"/>
        <v>28</v>
      </c>
      <c r="B102" s="30" t="str">
        <f t="shared" si="37"/>
        <v>贵州戴玛科技有限公司</v>
      </c>
      <c r="C102" s="30" t="str">
        <f t="shared" si="38"/>
        <v>民营企业</v>
      </c>
      <c r="D102" s="30" t="str">
        <f t="shared" si="39"/>
        <v>大数据</v>
      </c>
      <c r="E102" s="5" t="s">
        <v>284</v>
      </c>
      <c r="F102" s="5">
        <v>1</v>
      </c>
      <c r="G102" s="5" t="s">
        <v>283</v>
      </c>
      <c r="H102" s="5" t="s">
        <v>15</v>
      </c>
      <c r="I102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102" s="30" t="str">
        <f t="shared" si="41"/>
        <v>贵阳市南明区见龙洞路103号</v>
      </c>
      <c r="K102" s="30" t="str">
        <f t="shared" si="42"/>
        <v>基本工资、五险一金、双休、项目奖金、提成、年终奖金、带薪年假</v>
      </c>
    </row>
    <row r="103" spans="1:11" ht="21" customHeight="1" x14ac:dyDescent="0.25">
      <c r="A103" s="30">
        <f t="shared" si="36"/>
        <v>28</v>
      </c>
      <c r="B103" s="30" t="str">
        <f t="shared" si="37"/>
        <v>贵州戴玛科技有限公司</v>
      </c>
      <c r="C103" s="30" t="str">
        <f t="shared" si="38"/>
        <v>民营企业</v>
      </c>
      <c r="D103" s="30" t="str">
        <f t="shared" si="39"/>
        <v>大数据</v>
      </c>
      <c r="E103" s="5" t="s">
        <v>285</v>
      </c>
      <c r="F103" s="5">
        <v>1</v>
      </c>
      <c r="G103" s="5" t="s">
        <v>286</v>
      </c>
      <c r="H103" s="5" t="s">
        <v>15</v>
      </c>
      <c r="I103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103" s="30" t="str">
        <f t="shared" si="41"/>
        <v>贵阳市南明区见龙洞路103号</v>
      </c>
      <c r="K103" s="30" t="str">
        <f t="shared" si="42"/>
        <v>基本工资、五险一金、双休、项目奖金、提成、年终奖金、带薪年假</v>
      </c>
    </row>
    <row r="104" spans="1:11" ht="21" customHeight="1" x14ac:dyDescent="0.25">
      <c r="A104" s="30">
        <f t="shared" si="36"/>
        <v>28</v>
      </c>
      <c r="B104" s="30" t="str">
        <f t="shared" si="37"/>
        <v>贵州戴玛科技有限公司</v>
      </c>
      <c r="C104" s="30" t="str">
        <f t="shared" si="38"/>
        <v>民营企业</v>
      </c>
      <c r="D104" s="30" t="str">
        <f t="shared" si="39"/>
        <v>大数据</v>
      </c>
      <c r="E104" s="5" t="s">
        <v>287</v>
      </c>
      <c r="F104" s="5">
        <v>2</v>
      </c>
      <c r="G104" s="5" t="s">
        <v>288</v>
      </c>
      <c r="H104" s="5" t="s">
        <v>15</v>
      </c>
      <c r="I104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104" s="30" t="str">
        <f t="shared" si="41"/>
        <v>贵阳市南明区见龙洞路103号</v>
      </c>
      <c r="K104" s="30" t="str">
        <f t="shared" si="42"/>
        <v>基本工资、五险一金、双休、项目奖金、提成、年终奖金、带薪年假</v>
      </c>
    </row>
    <row r="105" spans="1:11" ht="21" customHeight="1" x14ac:dyDescent="0.25">
      <c r="A105" s="30">
        <f t="shared" si="36"/>
        <v>28</v>
      </c>
      <c r="B105" s="30" t="str">
        <f t="shared" si="37"/>
        <v>贵州戴玛科技有限公司</v>
      </c>
      <c r="C105" s="30" t="str">
        <f t="shared" si="38"/>
        <v>民营企业</v>
      </c>
      <c r="D105" s="30" t="str">
        <f t="shared" si="39"/>
        <v>大数据</v>
      </c>
      <c r="E105" s="5" t="s">
        <v>289</v>
      </c>
      <c r="F105" s="5">
        <v>3</v>
      </c>
      <c r="G105" s="5" t="s">
        <v>264</v>
      </c>
      <c r="H105" s="5" t="s">
        <v>15</v>
      </c>
      <c r="I105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105" s="30" t="str">
        <f t="shared" si="41"/>
        <v>贵阳市南明区见龙洞路103号</v>
      </c>
      <c r="K105" s="30" t="str">
        <f t="shared" si="42"/>
        <v>基本工资、五险一金、双休、项目奖金、提成、年终奖金、带薪年假</v>
      </c>
    </row>
    <row r="106" spans="1:11" ht="21" customHeight="1" x14ac:dyDescent="0.25">
      <c r="A106" s="30">
        <f t="shared" si="36"/>
        <v>28</v>
      </c>
      <c r="B106" s="30" t="str">
        <f t="shared" si="37"/>
        <v>贵州戴玛科技有限公司</v>
      </c>
      <c r="C106" s="30" t="str">
        <f t="shared" si="38"/>
        <v>民营企业</v>
      </c>
      <c r="D106" s="30" t="str">
        <f t="shared" si="39"/>
        <v>大数据</v>
      </c>
      <c r="E106" s="5" t="s">
        <v>290</v>
      </c>
      <c r="F106" s="5">
        <v>1</v>
      </c>
      <c r="G106" s="5" t="s">
        <v>291</v>
      </c>
      <c r="H106" s="5" t="s">
        <v>15</v>
      </c>
      <c r="I106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106" s="30" t="str">
        <f t="shared" si="41"/>
        <v>贵阳市南明区见龙洞路103号</v>
      </c>
      <c r="K106" s="30" t="str">
        <f t="shared" si="42"/>
        <v>基本工资、五险一金、双休、项目奖金、提成、年终奖金、带薪年假</v>
      </c>
    </row>
    <row r="107" spans="1:11" ht="21" customHeight="1" x14ac:dyDescent="0.25">
      <c r="A107" s="7">
        <f t="shared" si="36"/>
        <v>28</v>
      </c>
      <c r="B107" s="7" t="str">
        <f t="shared" si="37"/>
        <v>贵州戴玛科技有限公司</v>
      </c>
      <c r="C107" s="7" t="str">
        <f t="shared" si="38"/>
        <v>民营企业</v>
      </c>
      <c r="D107" s="7" t="str">
        <f t="shared" si="39"/>
        <v>大数据</v>
      </c>
      <c r="E107" s="5" t="s">
        <v>292</v>
      </c>
      <c r="F107" s="5">
        <v>3</v>
      </c>
      <c r="G107" s="5" t="s">
        <v>264</v>
      </c>
      <c r="H107" s="5" t="s">
        <v>15</v>
      </c>
      <c r="I107" s="5" t="str">
        <f t="shared" si="40"/>
        <v>熟练使用 Office 办公软件、人事考勤系统，具备公文写作能力。
综合素质：沟通协调能力强，处事严谨细致，责任心强。
具备较强执行力、抗压能力与问题解决能力。原则性强，保密意识好，有团队管理经验更佳。</v>
      </c>
      <c r="J107" s="7" t="str">
        <f t="shared" si="41"/>
        <v>贵阳市南明区见龙洞路103号</v>
      </c>
      <c r="K107" s="7" t="str">
        <f t="shared" si="42"/>
        <v>基本工资、五险一金、双休、项目奖金、提成、年终奖金、带薪年假</v>
      </c>
    </row>
    <row r="108" spans="1:11" ht="21" customHeight="1" x14ac:dyDescent="0.25">
      <c r="A108" s="6">
        <v>29</v>
      </c>
      <c r="B108" s="6" t="s">
        <v>293</v>
      </c>
      <c r="C108" s="5" t="s">
        <v>11</v>
      </c>
      <c r="D108" s="5" t="s">
        <v>20</v>
      </c>
      <c r="E108" s="5" t="s">
        <v>294</v>
      </c>
      <c r="F108" s="5">
        <v>5</v>
      </c>
      <c r="G108" s="5" t="s">
        <v>14</v>
      </c>
      <c r="H108" s="5" t="s">
        <v>15</v>
      </c>
      <c r="I108" s="5" t="s">
        <v>295</v>
      </c>
      <c r="J108" s="5" t="s">
        <v>296</v>
      </c>
      <c r="K108" s="5" t="str">
        <f t="shared" si="42"/>
        <v>基本工资、五险一金、双休、项目奖金、提成、年终奖金、带薪年假</v>
      </c>
    </row>
    <row r="109" spans="1:11" ht="21" customHeight="1" x14ac:dyDescent="0.25">
      <c r="A109" s="30">
        <f t="shared" ref="A109:B112" si="43">A108</f>
        <v>29</v>
      </c>
      <c r="B109" s="30" t="str">
        <f t="shared" si="43"/>
        <v>贵州农促促互联网有限责任公司</v>
      </c>
      <c r="C109" s="5" t="s">
        <v>11</v>
      </c>
      <c r="D109" s="5" t="s">
        <v>20</v>
      </c>
      <c r="E109" s="5" t="s">
        <v>297</v>
      </c>
      <c r="F109" s="5">
        <v>5</v>
      </c>
      <c r="G109" s="5" t="s">
        <v>14</v>
      </c>
      <c r="H109" s="5" t="s">
        <v>15</v>
      </c>
      <c r="I109" s="5" t="s">
        <v>298</v>
      </c>
      <c r="J109" s="5" t="s">
        <v>296</v>
      </c>
      <c r="K109" s="5" t="str">
        <f t="shared" si="42"/>
        <v>基本工资、五险一金、双休、项目奖金、提成、年终奖金、带薪年假</v>
      </c>
    </row>
    <row r="110" spans="1:11" ht="21" customHeight="1" x14ac:dyDescent="0.25">
      <c r="A110" s="30">
        <f t="shared" si="43"/>
        <v>29</v>
      </c>
      <c r="B110" s="30" t="str">
        <f t="shared" si="43"/>
        <v>贵州农促促互联网有限责任公司</v>
      </c>
      <c r="C110" s="5" t="s">
        <v>11</v>
      </c>
      <c r="D110" s="5" t="s">
        <v>20</v>
      </c>
      <c r="E110" s="5" t="s">
        <v>299</v>
      </c>
      <c r="F110" s="5">
        <v>5</v>
      </c>
      <c r="G110" s="5" t="s">
        <v>14</v>
      </c>
      <c r="H110" s="5" t="s">
        <v>15</v>
      </c>
      <c r="I110" s="5" t="s">
        <v>300</v>
      </c>
      <c r="J110" s="5" t="s">
        <v>296</v>
      </c>
      <c r="K110" s="5" t="str">
        <f t="shared" si="42"/>
        <v>基本工资、五险一金、双休、项目奖金、提成、年终奖金、带薪年假</v>
      </c>
    </row>
    <row r="111" spans="1:11" ht="21" customHeight="1" x14ac:dyDescent="0.25">
      <c r="A111" s="30">
        <f t="shared" si="43"/>
        <v>29</v>
      </c>
      <c r="B111" s="30" t="str">
        <f t="shared" si="43"/>
        <v>贵州农促促互联网有限责任公司</v>
      </c>
      <c r="C111" s="5" t="s">
        <v>11</v>
      </c>
      <c r="D111" s="5" t="s">
        <v>20</v>
      </c>
      <c r="E111" s="5" t="s">
        <v>301</v>
      </c>
      <c r="F111" s="5">
        <v>5</v>
      </c>
      <c r="G111" s="5" t="s">
        <v>14</v>
      </c>
      <c r="H111" s="5" t="s">
        <v>15</v>
      </c>
      <c r="I111" s="5" t="s">
        <v>302</v>
      </c>
      <c r="J111" s="5" t="s">
        <v>296</v>
      </c>
      <c r="K111" s="5" t="str">
        <f t="shared" si="42"/>
        <v>基本工资、五险一金、双休、项目奖金、提成、年终奖金、带薪年假</v>
      </c>
    </row>
    <row r="112" spans="1:11" ht="21" customHeight="1" x14ac:dyDescent="0.25">
      <c r="A112" s="7">
        <f t="shared" si="43"/>
        <v>29</v>
      </c>
      <c r="B112" s="7" t="str">
        <f t="shared" si="43"/>
        <v>贵州农促促互联网有限责任公司</v>
      </c>
      <c r="C112" s="5" t="s">
        <v>11</v>
      </c>
      <c r="D112" s="5" t="s">
        <v>20</v>
      </c>
      <c r="E112" s="5" t="s">
        <v>303</v>
      </c>
      <c r="F112" s="5">
        <v>20</v>
      </c>
      <c r="G112" s="5" t="s">
        <v>14</v>
      </c>
      <c r="H112" s="5" t="s">
        <v>15</v>
      </c>
      <c r="I112" s="5" t="s">
        <v>304</v>
      </c>
      <c r="J112" s="5" t="s">
        <v>296</v>
      </c>
      <c r="K112" s="5" t="str">
        <f t="shared" si="42"/>
        <v>基本工资、五险一金、双休、项目奖金、提成、年终奖金、带薪年假</v>
      </c>
    </row>
    <row r="113" spans="1:11" ht="55.95" customHeight="1" x14ac:dyDescent="0.25">
      <c r="A113" s="5">
        <v>30</v>
      </c>
      <c r="B113" s="5" t="s">
        <v>305</v>
      </c>
      <c r="C113" s="5" t="s">
        <v>306</v>
      </c>
      <c r="D113" s="5" t="s">
        <v>20</v>
      </c>
      <c r="E113" s="5" t="s">
        <v>307</v>
      </c>
      <c r="F113" s="5">
        <v>10</v>
      </c>
      <c r="G113" s="5" t="s">
        <v>308</v>
      </c>
      <c r="H113" s="5" t="s">
        <v>15</v>
      </c>
      <c r="I113" s="5" t="s">
        <v>309</v>
      </c>
      <c r="J113" s="5" t="s">
        <v>296</v>
      </c>
      <c r="K113" s="5" t="str">
        <f t="shared" si="42"/>
        <v>基本工资、五险一金、双休、项目奖金、提成、年终奖金、带薪年假</v>
      </c>
    </row>
    <row r="114" spans="1:11" ht="69" customHeight="1" x14ac:dyDescent="0.25">
      <c r="A114" s="5">
        <v>31</v>
      </c>
      <c r="B114" s="5" t="s">
        <v>310</v>
      </c>
      <c r="C114" s="5" t="s">
        <v>11</v>
      </c>
      <c r="D114" s="5" t="s">
        <v>311</v>
      </c>
      <c r="E114" s="5" t="s">
        <v>312</v>
      </c>
      <c r="F114" s="5">
        <v>4</v>
      </c>
      <c r="G114" s="5" t="s">
        <v>313</v>
      </c>
      <c r="H114" s="5" t="s">
        <v>83</v>
      </c>
      <c r="I114" s="5" t="s">
        <v>314</v>
      </c>
      <c r="J114" s="5" t="s">
        <v>315</v>
      </c>
      <c r="K114" s="5" t="str">
        <f t="shared" si="42"/>
        <v>基本工资、五险一金、双休、项目奖金、提成、年终奖金、带薪年假</v>
      </c>
    </row>
    <row r="115" spans="1:11" ht="39" customHeight="1" x14ac:dyDescent="0.25">
      <c r="A115" s="6">
        <v>32</v>
      </c>
      <c r="B115" s="6" t="s">
        <v>316</v>
      </c>
      <c r="C115" s="5" t="s">
        <v>11</v>
      </c>
      <c r="D115" s="5" t="s">
        <v>57</v>
      </c>
      <c r="E115" s="5" t="s">
        <v>317</v>
      </c>
      <c r="F115" s="5">
        <v>5</v>
      </c>
      <c r="G115" s="5" t="s">
        <v>318</v>
      </c>
      <c r="H115" s="5" t="s">
        <v>15</v>
      </c>
      <c r="I115" s="5" t="s">
        <v>319</v>
      </c>
      <c r="J115" s="5" t="s">
        <v>320</v>
      </c>
      <c r="K115" s="5" t="str">
        <f t="shared" si="42"/>
        <v>基本工资、五险一金、双休、项目奖金、提成、年终奖金、带薪年假</v>
      </c>
    </row>
    <row r="116" spans="1:11" ht="49.05" customHeight="1" x14ac:dyDescent="0.25">
      <c r="A116" s="7">
        <f t="shared" ref="A116:B116" si="44">A115</f>
        <v>32</v>
      </c>
      <c r="B116" s="7" t="str">
        <f t="shared" si="44"/>
        <v>贵阳恒聚领航科技有限责任公司</v>
      </c>
      <c r="C116" s="5" t="s">
        <v>11</v>
      </c>
      <c r="D116" s="5" t="s">
        <v>57</v>
      </c>
      <c r="E116" s="5" t="s">
        <v>321</v>
      </c>
      <c r="F116" s="5">
        <v>3</v>
      </c>
      <c r="G116" s="5" t="s">
        <v>318</v>
      </c>
      <c r="H116" s="5" t="s">
        <v>15</v>
      </c>
      <c r="I116" s="5" t="s">
        <v>322</v>
      </c>
      <c r="J116" s="5" t="s">
        <v>320</v>
      </c>
      <c r="K116" s="5" t="str">
        <f t="shared" si="42"/>
        <v>基本工资、五险一金、双休、项目奖金、提成、年终奖金、带薪年假</v>
      </c>
    </row>
    <row r="117" spans="1:11" ht="21" customHeight="1" x14ac:dyDescent="0.25">
      <c r="A117" s="12">
        <v>33</v>
      </c>
      <c r="B117" s="12" t="s">
        <v>323</v>
      </c>
      <c r="C117" s="12" t="s">
        <v>11</v>
      </c>
      <c r="D117" s="12" t="s">
        <v>221</v>
      </c>
      <c r="E117" s="13" t="s">
        <v>324</v>
      </c>
      <c r="F117" s="13">
        <v>1</v>
      </c>
      <c r="G117" s="13" t="s">
        <v>14</v>
      </c>
      <c r="H117" s="13" t="s">
        <v>325</v>
      </c>
      <c r="I117" s="19" t="s">
        <v>326</v>
      </c>
      <c r="J117" s="12" t="s">
        <v>327</v>
      </c>
      <c r="K117" s="13" t="str">
        <f t="shared" si="42"/>
        <v>基本工资、五险一金、双休、项目奖金、提成、年终奖金、带薪年假</v>
      </c>
    </row>
    <row r="118" spans="1:11" ht="21" customHeight="1" x14ac:dyDescent="0.25">
      <c r="A118" s="33">
        <f t="shared" ref="A118:D119" si="45">A117</f>
        <v>33</v>
      </c>
      <c r="B118" s="33" t="str">
        <f t="shared" si="45"/>
        <v>贵州祥恒包装有限公司</v>
      </c>
      <c r="C118" s="33" t="str">
        <f t="shared" si="45"/>
        <v>民营企业</v>
      </c>
      <c r="D118" s="33" t="str">
        <f t="shared" si="45"/>
        <v>制造业</v>
      </c>
      <c r="E118" s="13" t="s">
        <v>328</v>
      </c>
      <c r="F118" s="13">
        <v>3</v>
      </c>
      <c r="G118" s="13" t="s">
        <v>329</v>
      </c>
      <c r="H118" s="13" t="s">
        <v>325</v>
      </c>
      <c r="I118" s="19" t="s">
        <v>330</v>
      </c>
      <c r="J118" s="33" t="str">
        <f t="shared" ref="J118:J119" si="46">J117</f>
        <v>贵阳综保区</v>
      </c>
      <c r="K118" s="13" t="str">
        <f t="shared" si="42"/>
        <v>基本工资、五险一金、双休、项目奖金、提成、年终奖金、带薪年假</v>
      </c>
    </row>
    <row r="119" spans="1:11" ht="21" customHeight="1" x14ac:dyDescent="0.25">
      <c r="A119" s="33">
        <f t="shared" si="45"/>
        <v>33</v>
      </c>
      <c r="B119" s="33" t="str">
        <f t="shared" si="45"/>
        <v>贵州祥恒包装有限公司</v>
      </c>
      <c r="C119" s="33" t="str">
        <f t="shared" si="45"/>
        <v>民营企业</v>
      </c>
      <c r="D119" s="33" t="str">
        <f t="shared" si="45"/>
        <v>制造业</v>
      </c>
      <c r="E119" s="13" t="s">
        <v>331</v>
      </c>
      <c r="F119" s="13">
        <v>1</v>
      </c>
      <c r="G119" s="13" t="s">
        <v>14</v>
      </c>
      <c r="H119" s="13" t="s">
        <v>325</v>
      </c>
      <c r="I119" s="19" t="s">
        <v>332</v>
      </c>
      <c r="J119" s="33" t="str">
        <f t="shared" si="46"/>
        <v>贵阳综保区</v>
      </c>
      <c r="K119" s="13" t="str">
        <f t="shared" si="42"/>
        <v>基本工资、五险一金、双休、项目奖金、提成、年终奖金、带薪年假</v>
      </c>
    </row>
    <row r="120" spans="1:11" ht="21" customHeight="1" x14ac:dyDescent="0.25">
      <c r="A120" s="12">
        <v>34</v>
      </c>
      <c r="B120" s="12" t="s">
        <v>333</v>
      </c>
      <c r="C120" s="12" t="s">
        <v>11</v>
      </c>
      <c r="D120" s="12" t="s">
        <v>221</v>
      </c>
      <c r="E120" s="15" t="s">
        <v>334</v>
      </c>
      <c r="F120" s="13">
        <v>5</v>
      </c>
      <c r="G120" s="13" t="s">
        <v>14</v>
      </c>
      <c r="H120" s="13" t="s">
        <v>204</v>
      </c>
      <c r="I120" s="19" t="s">
        <v>335</v>
      </c>
      <c r="J120" s="12" t="s">
        <v>327</v>
      </c>
      <c r="K120" s="13" t="str">
        <f t="shared" si="42"/>
        <v>基本工资、五险一金、双休、项目奖金、提成、年终奖金、带薪年假</v>
      </c>
    </row>
    <row r="121" spans="1:11" ht="21" customHeight="1" x14ac:dyDescent="0.25">
      <c r="A121" s="33">
        <f t="shared" ref="A121:D121" si="47">A120</f>
        <v>34</v>
      </c>
      <c r="B121" s="33" t="str">
        <f t="shared" si="47"/>
        <v>贵州鼎成熔鑫科技有限公司</v>
      </c>
      <c r="C121" s="33" t="str">
        <f t="shared" si="47"/>
        <v>民营企业</v>
      </c>
      <c r="D121" s="33" t="str">
        <f t="shared" si="47"/>
        <v>制造业</v>
      </c>
      <c r="E121" s="15" t="s">
        <v>336</v>
      </c>
      <c r="F121" s="13">
        <v>3</v>
      </c>
      <c r="G121" s="13" t="s">
        <v>337</v>
      </c>
      <c r="H121" s="13" t="s">
        <v>204</v>
      </c>
      <c r="I121" s="19" t="s">
        <v>338</v>
      </c>
      <c r="J121" s="33" t="str">
        <f>J120</f>
        <v>贵阳综保区</v>
      </c>
      <c r="K121" s="13" t="str">
        <f t="shared" si="42"/>
        <v>基本工资、五险一金、双休、项目奖金、提成、年终奖金、带薪年假</v>
      </c>
    </row>
    <row r="122" spans="1:11" ht="21" customHeight="1" x14ac:dyDescent="0.25">
      <c r="A122" s="12">
        <v>35</v>
      </c>
      <c r="B122" s="38" t="s">
        <v>339</v>
      </c>
      <c r="C122" s="42" t="s">
        <v>11</v>
      </c>
      <c r="D122" s="42" t="s">
        <v>221</v>
      </c>
      <c r="E122" s="16" t="s">
        <v>340</v>
      </c>
      <c r="F122" s="13">
        <v>2</v>
      </c>
      <c r="G122" s="13" t="s">
        <v>341</v>
      </c>
      <c r="H122" s="13" t="s">
        <v>204</v>
      </c>
      <c r="I122" s="16" t="s">
        <v>342</v>
      </c>
      <c r="J122" s="12" t="s">
        <v>327</v>
      </c>
      <c r="K122" s="13" t="str">
        <f t="shared" si="42"/>
        <v>基本工资、五险一金、双休、项目奖金、提成、年终奖金、带薪年假</v>
      </c>
    </row>
    <row r="123" spans="1:11" ht="21" customHeight="1" x14ac:dyDescent="0.25">
      <c r="A123" s="33">
        <f t="shared" ref="A123:D126" si="48">A122</f>
        <v>35</v>
      </c>
      <c r="B123" s="39" t="str">
        <f t="shared" si="48"/>
        <v>贵州凯朗德电力科技有限公司</v>
      </c>
      <c r="C123" s="43" t="str">
        <f t="shared" si="48"/>
        <v>民营企业</v>
      </c>
      <c r="D123" s="43" t="str">
        <f t="shared" si="48"/>
        <v>制造业</v>
      </c>
      <c r="E123" s="16" t="s">
        <v>343</v>
      </c>
      <c r="F123" s="13">
        <v>3</v>
      </c>
      <c r="G123" s="13" t="s">
        <v>344</v>
      </c>
      <c r="H123" s="13" t="s">
        <v>204</v>
      </c>
      <c r="I123" s="16" t="s">
        <v>345</v>
      </c>
      <c r="J123" s="33" t="str">
        <f t="shared" ref="J123:J126" si="49">J122</f>
        <v>贵阳综保区</v>
      </c>
      <c r="K123" s="13" t="str">
        <f t="shared" ref="K123:K154" si="50">K122</f>
        <v>基本工资、五险一金、双休、项目奖金、提成、年终奖金、带薪年假</v>
      </c>
    </row>
    <row r="124" spans="1:11" ht="21" customHeight="1" x14ac:dyDescent="0.25">
      <c r="A124" s="33">
        <f t="shared" si="48"/>
        <v>35</v>
      </c>
      <c r="B124" s="39" t="str">
        <f t="shared" si="48"/>
        <v>贵州凯朗德电力科技有限公司</v>
      </c>
      <c r="C124" s="43" t="str">
        <f t="shared" si="48"/>
        <v>民营企业</v>
      </c>
      <c r="D124" s="43" t="str">
        <f t="shared" si="48"/>
        <v>制造业</v>
      </c>
      <c r="E124" s="16" t="s">
        <v>346</v>
      </c>
      <c r="F124" s="13">
        <v>1</v>
      </c>
      <c r="G124" s="13" t="s">
        <v>347</v>
      </c>
      <c r="H124" s="13" t="s">
        <v>204</v>
      </c>
      <c r="I124" s="13" t="s">
        <v>348</v>
      </c>
      <c r="J124" s="33" t="str">
        <f t="shared" si="49"/>
        <v>贵阳综保区</v>
      </c>
      <c r="K124" s="13" t="str">
        <f t="shared" si="50"/>
        <v>基本工资、五险一金、双休、项目奖金、提成、年终奖金、带薪年假</v>
      </c>
    </row>
    <row r="125" spans="1:11" ht="21" customHeight="1" x14ac:dyDescent="0.25">
      <c r="A125" s="33">
        <f t="shared" si="48"/>
        <v>35</v>
      </c>
      <c r="B125" s="39" t="str">
        <f t="shared" si="48"/>
        <v>贵州凯朗德电力科技有限公司</v>
      </c>
      <c r="C125" s="43" t="str">
        <f t="shared" si="48"/>
        <v>民营企业</v>
      </c>
      <c r="D125" s="43" t="str">
        <f t="shared" si="48"/>
        <v>制造业</v>
      </c>
      <c r="E125" s="16" t="s">
        <v>349</v>
      </c>
      <c r="F125" s="13">
        <v>2</v>
      </c>
      <c r="G125" s="13" t="s">
        <v>350</v>
      </c>
      <c r="H125" s="13" t="s">
        <v>204</v>
      </c>
      <c r="I125" s="13" t="s">
        <v>351</v>
      </c>
      <c r="J125" s="33" t="str">
        <f t="shared" si="49"/>
        <v>贵阳综保区</v>
      </c>
      <c r="K125" s="13" t="str">
        <f t="shared" si="50"/>
        <v>基本工资、五险一金、双休、项目奖金、提成、年终奖金、带薪年假</v>
      </c>
    </row>
    <row r="126" spans="1:11" ht="21" customHeight="1" x14ac:dyDescent="0.25">
      <c r="A126" s="33">
        <f t="shared" si="48"/>
        <v>35</v>
      </c>
      <c r="B126" s="40" t="str">
        <f t="shared" si="48"/>
        <v>贵州凯朗德电力科技有限公司</v>
      </c>
      <c r="C126" s="43" t="str">
        <f t="shared" si="48"/>
        <v>民营企业</v>
      </c>
      <c r="D126" s="43" t="str">
        <f t="shared" si="48"/>
        <v>制造业</v>
      </c>
      <c r="E126" s="17" t="s">
        <v>352</v>
      </c>
      <c r="F126" s="12">
        <v>10</v>
      </c>
      <c r="G126" s="12" t="s">
        <v>353</v>
      </c>
      <c r="H126" s="12" t="s">
        <v>204</v>
      </c>
      <c r="I126" s="12" t="s">
        <v>354</v>
      </c>
      <c r="J126" s="33" t="str">
        <f t="shared" si="49"/>
        <v>贵阳综保区</v>
      </c>
      <c r="K126" s="12" t="str">
        <f t="shared" si="50"/>
        <v>基本工资、五险一金、双休、项目奖金、提成、年终奖金、带薪年假</v>
      </c>
    </row>
    <row r="127" spans="1:11" ht="21" customHeight="1" x14ac:dyDescent="0.25">
      <c r="A127" s="14">
        <v>36</v>
      </c>
      <c r="B127" s="14" t="s">
        <v>355</v>
      </c>
      <c r="C127" s="14" t="s">
        <v>11</v>
      </c>
      <c r="D127" s="14" t="s">
        <v>356</v>
      </c>
      <c r="E127" s="5" t="s">
        <v>357</v>
      </c>
      <c r="F127" s="14">
        <v>2</v>
      </c>
      <c r="G127" s="5" t="s">
        <v>358</v>
      </c>
      <c r="H127" s="14" t="s">
        <v>359</v>
      </c>
      <c r="I127" s="5" t="s">
        <v>360</v>
      </c>
      <c r="J127" s="14" t="s">
        <v>327</v>
      </c>
      <c r="K127" s="13" t="str">
        <f t="shared" si="50"/>
        <v>基本工资、五险一金、双休、项目奖金、提成、年终奖金、带薪年假</v>
      </c>
    </row>
    <row r="128" spans="1:11" ht="21" customHeight="1" x14ac:dyDescent="0.25">
      <c r="A128" s="14">
        <f t="shared" ref="A128:D130" si="51">A127</f>
        <v>36</v>
      </c>
      <c r="B128" s="14" t="str">
        <f t="shared" si="51"/>
        <v>贵州万辉国际贸易有限公司</v>
      </c>
      <c r="C128" s="14" t="str">
        <f t="shared" si="51"/>
        <v>民营企业</v>
      </c>
      <c r="D128" s="14" t="str">
        <f t="shared" si="51"/>
        <v>农产品生产加工</v>
      </c>
      <c r="E128" s="5" t="s">
        <v>361</v>
      </c>
      <c r="F128" s="14">
        <v>3</v>
      </c>
      <c r="G128" s="5" t="s">
        <v>362</v>
      </c>
      <c r="H128" s="14" t="s">
        <v>363</v>
      </c>
      <c r="I128" s="5" t="s">
        <v>364</v>
      </c>
      <c r="J128" s="14" t="str">
        <f t="shared" ref="J128:J130" si="52">J127</f>
        <v>贵阳综保区</v>
      </c>
      <c r="K128" s="13" t="str">
        <f t="shared" si="50"/>
        <v>基本工资、五险一金、双休、项目奖金、提成、年终奖金、带薪年假</v>
      </c>
    </row>
    <row r="129" spans="1:11" ht="21" customHeight="1" x14ac:dyDescent="0.25">
      <c r="A129" s="14">
        <f t="shared" si="51"/>
        <v>36</v>
      </c>
      <c r="B129" s="14" t="str">
        <f t="shared" si="51"/>
        <v>贵州万辉国际贸易有限公司</v>
      </c>
      <c r="C129" s="14" t="str">
        <f t="shared" si="51"/>
        <v>民营企业</v>
      </c>
      <c r="D129" s="14" t="str">
        <f t="shared" si="51"/>
        <v>农产品生产加工</v>
      </c>
      <c r="E129" s="5" t="s">
        <v>365</v>
      </c>
      <c r="F129" s="14">
        <v>2</v>
      </c>
      <c r="G129" s="5" t="s">
        <v>366</v>
      </c>
      <c r="H129" s="14" t="s">
        <v>212</v>
      </c>
      <c r="I129" s="14" t="s">
        <v>367</v>
      </c>
      <c r="J129" s="14" t="str">
        <f t="shared" si="52"/>
        <v>贵阳综保区</v>
      </c>
      <c r="K129" s="13" t="str">
        <f t="shared" si="50"/>
        <v>基本工资、五险一金、双休、项目奖金、提成、年终奖金、带薪年假</v>
      </c>
    </row>
    <row r="130" spans="1:11" ht="21" customHeight="1" x14ac:dyDescent="0.25">
      <c r="A130" s="20">
        <f t="shared" si="51"/>
        <v>36</v>
      </c>
      <c r="B130" s="20" t="str">
        <f t="shared" si="51"/>
        <v>贵州万辉国际贸易有限公司</v>
      </c>
      <c r="C130" s="20" t="str">
        <f t="shared" si="51"/>
        <v>民营企业</v>
      </c>
      <c r="D130" s="20" t="str">
        <f t="shared" si="51"/>
        <v>农产品生产加工</v>
      </c>
      <c r="E130" s="6" t="s">
        <v>368</v>
      </c>
      <c r="F130" s="20">
        <v>1</v>
      </c>
      <c r="G130" s="20" t="s">
        <v>369</v>
      </c>
      <c r="H130" s="6" t="s">
        <v>370</v>
      </c>
      <c r="I130" s="20" t="s">
        <v>371</v>
      </c>
      <c r="J130" s="20" t="str">
        <f t="shared" si="52"/>
        <v>贵阳综保区</v>
      </c>
      <c r="K130" s="12" t="str">
        <f t="shared" si="50"/>
        <v>基本工资、五险一金、双休、项目奖金、提成、年终奖金、带薪年假</v>
      </c>
    </row>
    <row r="131" spans="1:11" ht="21" customHeight="1" x14ac:dyDescent="0.25">
      <c r="A131" s="14">
        <v>37</v>
      </c>
      <c r="B131" s="14" t="s">
        <v>372</v>
      </c>
      <c r="C131" s="14" t="s">
        <v>11</v>
      </c>
      <c r="D131" s="14" t="s">
        <v>373</v>
      </c>
      <c r="E131" s="5" t="s">
        <v>374</v>
      </c>
      <c r="F131" s="5">
        <v>2</v>
      </c>
      <c r="G131" s="5" t="s">
        <v>375</v>
      </c>
      <c r="H131" s="5" t="s">
        <v>60</v>
      </c>
      <c r="I131" s="5" t="s">
        <v>376</v>
      </c>
      <c r="J131" s="20" t="s">
        <v>327</v>
      </c>
      <c r="K131" s="14" t="str">
        <f t="shared" si="50"/>
        <v>基本工资、五险一金、双休、项目奖金、提成、年终奖金、带薪年假</v>
      </c>
    </row>
    <row r="132" spans="1:11" ht="21" customHeight="1" x14ac:dyDescent="0.25">
      <c r="A132" s="14">
        <f t="shared" ref="A132:D135" si="53">A131</f>
        <v>37</v>
      </c>
      <c r="B132" s="14" t="str">
        <f t="shared" si="53"/>
        <v>贵州航瑞科技有限公司</v>
      </c>
      <c r="C132" s="14" t="str">
        <f t="shared" si="53"/>
        <v>民营企业</v>
      </c>
      <c r="D132" s="14" t="str">
        <f t="shared" si="53"/>
        <v>航空航天及装备制造</v>
      </c>
      <c r="E132" s="5" t="s">
        <v>377</v>
      </c>
      <c r="F132" s="5">
        <v>2</v>
      </c>
      <c r="G132" s="5" t="s">
        <v>378</v>
      </c>
      <c r="H132" s="5" t="s">
        <v>379</v>
      </c>
      <c r="I132" s="5" t="s">
        <v>380</v>
      </c>
      <c r="J132" s="43" t="str">
        <f t="shared" ref="J132:J135" si="54">J131</f>
        <v>贵阳综保区</v>
      </c>
      <c r="K132" s="14" t="str">
        <f t="shared" si="50"/>
        <v>基本工资、五险一金、双休、项目奖金、提成、年终奖金、带薪年假</v>
      </c>
    </row>
    <row r="133" spans="1:11" ht="21" customHeight="1" x14ac:dyDescent="0.25">
      <c r="A133" s="14">
        <f t="shared" si="53"/>
        <v>37</v>
      </c>
      <c r="B133" s="14" t="str">
        <f t="shared" si="53"/>
        <v>贵州航瑞科技有限公司</v>
      </c>
      <c r="C133" s="14" t="str">
        <f t="shared" si="53"/>
        <v>民营企业</v>
      </c>
      <c r="D133" s="14" t="str">
        <f t="shared" si="53"/>
        <v>航空航天及装备制造</v>
      </c>
      <c r="E133" s="5" t="s">
        <v>381</v>
      </c>
      <c r="F133" s="5">
        <v>3</v>
      </c>
      <c r="G133" s="5" t="s">
        <v>378</v>
      </c>
      <c r="H133" s="5" t="s">
        <v>382</v>
      </c>
      <c r="I133" s="5" t="s">
        <v>383</v>
      </c>
      <c r="J133" s="43" t="str">
        <f t="shared" si="54"/>
        <v>贵阳综保区</v>
      </c>
      <c r="K133" s="14" t="str">
        <f t="shared" si="50"/>
        <v>基本工资、五险一金、双休、项目奖金、提成、年终奖金、带薪年假</v>
      </c>
    </row>
    <row r="134" spans="1:11" ht="21" customHeight="1" x14ac:dyDescent="0.25">
      <c r="A134" s="14">
        <f t="shared" si="53"/>
        <v>37</v>
      </c>
      <c r="B134" s="14" t="str">
        <f t="shared" si="53"/>
        <v>贵州航瑞科技有限公司</v>
      </c>
      <c r="C134" s="14" t="str">
        <f t="shared" si="53"/>
        <v>民营企业</v>
      </c>
      <c r="D134" s="14" t="str">
        <f t="shared" si="53"/>
        <v>航空航天及装备制造</v>
      </c>
      <c r="E134" s="5" t="s">
        <v>384</v>
      </c>
      <c r="F134" s="5">
        <v>1</v>
      </c>
      <c r="G134" s="5" t="s">
        <v>385</v>
      </c>
      <c r="H134" s="5" t="s">
        <v>386</v>
      </c>
      <c r="I134" s="5" t="s">
        <v>387</v>
      </c>
      <c r="J134" s="43" t="str">
        <f t="shared" si="54"/>
        <v>贵阳综保区</v>
      </c>
      <c r="K134" s="14" t="str">
        <f t="shared" si="50"/>
        <v>基本工资、五险一金、双休、项目奖金、提成、年终奖金、带薪年假</v>
      </c>
    </row>
    <row r="135" spans="1:11" ht="21" customHeight="1" x14ac:dyDescent="0.25">
      <c r="A135" s="14">
        <f t="shared" si="53"/>
        <v>37</v>
      </c>
      <c r="B135" s="14" t="str">
        <f t="shared" si="53"/>
        <v>贵州航瑞科技有限公司</v>
      </c>
      <c r="C135" s="14" t="str">
        <f t="shared" si="53"/>
        <v>民营企业</v>
      </c>
      <c r="D135" s="14" t="str">
        <f t="shared" si="53"/>
        <v>航空航天及装备制造</v>
      </c>
      <c r="E135" s="10" t="s">
        <v>336</v>
      </c>
      <c r="F135" s="10">
        <v>2</v>
      </c>
      <c r="G135" s="5" t="s">
        <v>388</v>
      </c>
      <c r="H135" s="5" t="s">
        <v>204</v>
      </c>
      <c r="I135" s="5" t="s">
        <v>389</v>
      </c>
      <c r="J135" s="44" t="str">
        <f t="shared" si="54"/>
        <v>贵阳综保区</v>
      </c>
      <c r="K135" s="14" t="str">
        <f t="shared" si="50"/>
        <v>基本工资、五险一金、双休、项目奖金、提成、年终奖金、带薪年假</v>
      </c>
    </row>
    <row r="136" spans="1:11" ht="72" customHeight="1" x14ac:dyDescent="0.25">
      <c r="A136" s="14">
        <v>38</v>
      </c>
      <c r="B136" s="14" t="s">
        <v>390</v>
      </c>
      <c r="C136" s="14" t="s">
        <v>11</v>
      </c>
      <c r="D136" s="14" t="s">
        <v>391</v>
      </c>
      <c r="E136" s="14" t="s">
        <v>392</v>
      </c>
      <c r="F136" s="14">
        <v>2</v>
      </c>
      <c r="G136" s="14" t="s">
        <v>14</v>
      </c>
      <c r="H136" s="14" t="s">
        <v>204</v>
      </c>
      <c r="I136" s="14" t="s">
        <v>393</v>
      </c>
      <c r="J136" s="14" t="s">
        <v>327</v>
      </c>
      <c r="K136" s="14" t="str">
        <f t="shared" si="50"/>
        <v>基本工资、五险一金、双休、项目奖金、提成、年终奖金、带薪年假</v>
      </c>
    </row>
    <row r="137" spans="1:11" ht="24" customHeight="1" x14ac:dyDescent="0.25">
      <c r="A137" s="31">
        <v>39</v>
      </c>
      <c r="B137" s="6" t="s">
        <v>394</v>
      </c>
      <c r="C137" s="5" t="s">
        <v>11</v>
      </c>
      <c r="D137" s="5" t="s">
        <v>311</v>
      </c>
      <c r="E137" s="5" t="s">
        <v>395</v>
      </c>
      <c r="F137" s="5">
        <v>3</v>
      </c>
      <c r="G137" s="5" t="s">
        <v>396</v>
      </c>
      <c r="H137" s="5" t="s">
        <v>158</v>
      </c>
      <c r="I137" s="5" t="s">
        <v>397</v>
      </c>
      <c r="J137" s="5" t="s">
        <v>214</v>
      </c>
      <c r="K137" s="5" t="str">
        <f t="shared" si="50"/>
        <v>基本工资、五险一金、双休、项目奖金、提成、年终奖金、带薪年假</v>
      </c>
    </row>
    <row r="138" spans="1:11" ht="21" customHeight="1" x14ac:dyDescent="0.25">
      <c r="A138" s="32">
        <f t="shared" ref="A138:B140" si="55">A137</f>
        <v>39</v>
      </c>
      <c r="B138" s="30" t="str">
        <f t="shared" si="55"/>
        <v>贵州众智信赢增材制造有限公司</v>
      </c>
      <c r="C138" s="5" t="s">
        <v>11</v>
      </c>
      <c r="D138" s="5" t="s">
        <v>311</v>
      </c>
      <c r="E138" s="5" t="s">
        <v>398</v>
      </c>
      <c r="F138" s="5">
        <v>3</v>
      </c>
      <c r="G138" s="5" t="s">
        <v>399</v>
      </c>
      <c r="H138" s="5" t="s">
        <v>158</v>
      </c>
      <c r="I138" s="5" t="s">
        <v>400</v>
      </c>
      <c r="J138" s="5" t="s">
        <v>214</v>
      </c>
      <c r="K138" s="5" t="str">
        <f t="shared" si="50"/>
        <v>基本工资、五险一金、双休、项目奖金、提成、年终奖金、带薪年假</v>
      </c>
    </row>
    <row r="139" spans="1:11" ht="21" customHeight="1" x14ac:dyDescent="0.25">
      <c r="A139" s="32">
        <f t="shared" si="55"/>
        <v>39</v>
      </c>
      <c r="B139" s="30" t="str">
        <f t="shared" si="55"/>
        <v>贵州众智信赢增材制造有限公司</v>
      </c>
      <c r="C139" s="5" t="s">
        <v>11</v>
      </c>
      <c r="D139" s="5" t="s">
        <v>311</v>
      </c>
      <c r="E139" s="5" t="s">
        <v>48</v>
      </c>
      <c r="F139" s="5">
        <v>10</v>
      </c>
      <c r="G139" s="5" t="s">
        <v>401</v>
      </c>
      <c r="H139" s="5" t="s">
        <v>402</v>
      </c>
      <c r="I139" s="5" t="s">
        <v>403</v>
      </c>
      <c r="J139" s="5" t="s">
        <v>214</v>
      </c>
      <c r="K139" s="5" t="str">
        <f t="shared" si="50"/>
        <v>基本工资、五险一金、双休、项目奖金、提成、年终奖金、带薪年假</v>
      </c>
    </row>
    <row r="140" spans="1:11" ht="21" customHeight="1" x14ac:dyDescent="0.25">
      <c r="A140" s="9">
        <f t="shared" si="55"/>
        <v>39</v>
      </c>
      <c r="B140" s="7" t="str">
        <f t="shared" si="55"/>
        <v>贵州众智信赢增材制造有限公司</v>
      </c>
      <c r="C140" s="5" t="s">
        <v>11</v>
      </c>
      <c r="D140" s="5" t="s">
        <v>311</v>
      </c>
      <c r="E140" s="5" t="s">
        <v>109</v>
      </c>
      <c r="F140" s="5">
        <v>10</v>
      </c>
      <c r="G140" s="5" t="s">
        <v>404</v>
      </c>
      <c r="H140" s="5" t="s">
        <v>402</v>
      </c>
      <c r="I140" s="5" t="s">
        <v>405</v>
      </c>
      <c r="J140" s="5" t="s">
        <v>214</v>
      </c>
      <c r="K140" s="5" t="str">
        <f t="shared" si="50"/>
        <v>基本工资、五险一金、双休、项目奖金、提成、年终奖金、带薪年假</v>
      </c>
    </row>
    <row r="141" spans="1:11" ht="21" customHeight="1" x14ac:dyDescent="0.25">
      <c r="A141" s="6">
        <v>40</v>
      </c>
      <c r="B141" s="6" t="s">
        <v>406</v>
      </c>
      <c r="C141" s="6" t="s">
        <v>306</v>
      </c>
      <c r="D141" s="6" t="s">
        <v>311</v>
      </c>
      <c r="E141" s="5" t="s">
        <v>407</v>
      </c>
      <c r="F141" s="5">
        <v>5</v>
      </c>
      <c r="G141" s="5" t="s">
        <v>408</v>
      </c>
      <c r="H141" s="5" t="s">
        <v>92</v>
      </c>
      <c r="I141" s="5" t="s">
        <v>409</v>
      </c>
      <c r="J141" s="5" t="s">
        <v>410</v>
      </c>
      <c r="K141" s="5" t="str">
        <f t="shared" si="50"/>
        <v>基本工资、五险一金、双休、项目奖金、提成、年终奖金、带薪年假</v>
      </c>
    </row>
    <row r="142" spans="1:11" ht="21" customHeight="1" x14ac:dyDescent="0.25">
      <c r="A142" s="30">
        <f t="shared" ref="A142:A152" si="56">A141</f>
        <v>40</v>
      </c>
      <c r="B142" s="30" t="str">
        <f t="shared" ref="B142:B152" si="57">B141</f>
        <v>贵阳永青智控科技股份有限公司</v>
      </c>
      <c r="C142" s="30" t="str">
        <f t="shared" ref="C142:C152" si="58">C141</f>
        <v>国有企业</v>
      </c>
      <c r="D142" s="30" t="str">
        <f t="shared" ref="D142:D152" si="59">D141</f>
        <v>新型工业化</v>
      </c>
      <c r="E142" s="5" t="s">
        <v>411</v>
      </c>
      <c r="F142" s="5">
        <v>5</v>
      </c>
      <c r="G142" s="5" t="s">
        <v>412</v>
      </c>
      <c r="H142" s="5" t="s">
        <v>92</v>
      </c>
      <c r="I142" s="5" t="s">
        <v>413</v>
      </c>
      <c r="J142" s="5" t="s">
        <v>410</v>
      </c>
      <c r="K142" s="5" t="str">
        <f t="shared" si="50"/>
        <v>基本工资、五险一金、双休、项目奖金、提成、年终奖金、带薪年假</v>
      </c>
    </row>
    <row r="143" spans="1:11" ht="21" customHeight="1" x14ac:dyDescent="0.25">
      <c r="A143" s="30">
        <f t="shared" si="56"/>
        <v>40</v>
      </c>
      <c r="B143" s="30" t="str">
        <f t="shared" si="57"/>
        <v>贵阳永青智控科技股份有限公司</v>
      </c>
      <c r="C143" s="30" t="str">
        <f t="shared" si="58"/>
        <v>国有企业</v>
      </c>
      <c r="D143" s="30" t="str">
        <f t="shared" si="59"/>
        <v>新型工业化</v>
      </c>
      <c r="E143" s="5" t="s">
        <v>414</v>
      </c>
      <c r="F143" s="5">
        <v>5</v>
      </c>
      <c r="G143" s="5" t="s">
        <v>412</v>
      </c>
      <c r="H143" s="5" t="s">
        <v>92</v>
      </c>
      <c r="I143" s="5" t="s">
        <v>415</v>
      </c>
      <c r="J143" s="5" t="s">
        <v>410</v>
      </c>
      <c r="K143" s="5" t="str">
        <f t="shared" si="50"/>
        <v>基本工资、五险一金、双休、项目奖金、提成、年终奖金、带薪年假</v>
      </c>
    </row>
    <row r="144" spans="1:11" ht="21" customHeight="1" x14ac:dyDescent="0.25">
      <c r="A144" s="30">
        <f t="shared" si="56"/>
        <v>40</v>
      </c>
      <c r="B144" s="30" t="str">
        <f t="shared" si="57"/>
        <v>贵阳永青智控科技股份有限公司</v>
      </c>
      <c r="C144" s="30" t="str">
        <f t="shared" si="58"/>
        <v>国有企业</v>
      </c>
      <c r="D144" s="30" t="str">
        <f t="shared" si="59"/>
        <v>新型工业化</v>
      </c>
      <c r="E144" s="5" t="s">
        <v>416</v>
      </c>
      <c r="F144" s="5">
        <v>5</v>
      </c>
      <c r="G144" s="5" t="s">
        <v>412</v>
      </c>
      <c r="H144" s="5" t="s">
        <v>92</v>
      </c>
      <c r="I144" s="5" t="s">
        <v>417</v>
      </c>
      <c r="J144" s="5" t="s">
        <v>410</v>
      </c>
      <c r="K144" s="5" t="str">
        <f t="shared" si="50"/>
        <v>基本工资、五险一金、双休、项目奖金、提成、年终奖金、带薪年假</v>
      </c>
    </row>
    <row r="145" spans="1:11" ht="21" customHeight="1" x14ac:dyDescent="0.25">
      <c r="A145" s="30">
        <f t="shared" si="56"/>
        <v>40</v>
      </c>
      <c r="B145" s="30" t="str">
        <f t="shared" si="57"/>
        <v>贵阳永青智控科技股份有限公司</v>
      </c>
      <c r="C145" s="30" t="str">
        <f t="shared" si="58"/>
        <v>国有企业</v>
      </c>
      <c r="D145" s="30" t="str">
        <f t="shared" si="59"/>
        <v>新型工业化</v>
      </c>
      <c r="E145" s="5" t="s">
        <v>418</v>
      </c>
      <c r="F145" s="5">
        <v>5</v>
      </c>
      <c r="G145" s="5" t="s">
        <v>419</v>
      </c>
      <c r="H145" s="5" t="s">
        <v>92</v>
      </c>
      <c r="I145" s="5" t="s">
        <v>420</v>
      </c>
      <c r="J145" s="5" t="s">
        <v>410</v>
      </c>
      <c r="K145" s="5" t="str">
        <f t="shared" si="50"/>
        <v>基本工资、五险一金、双休、项目奖金、提成、年终奖金、带薪年假</v>
      </c>
    </row>
    <row r="146" spans="1:11" ht="21" customHeight="1" x14ac:dyDescent="0.25">
      <c r="A146" s="30">
        <f t="shared" si="56"/>
        <v>40</v>
      </c>
      <c r="B146" s="30" t="str">
        <f t="shared" si="57"/>
        <v>贵阳永青智控科技股份有限公司</v>
      </c>
      <c r="C146" s="30" t="str">
        <f t="shared" si="58"/>
        <v>国有企业</v>
      </c>
      <c r="D146" s="30" t="str">
        <f t="shared" si="59"/>
        <v>新型工业化</v>
      </c>
      <c r="E146" s="5" t="s">
        <v>421</v>
      </c>
      <c r="F146" s="5">
        <v>5</v>
      </c>
      <c r="G146" s="5" t="s">
        <v>422</v>
      </c>
      <c r="H146" s="5" t="s">
        <v>92</v>
      </c>
      <c r="I146" s="5" t="s">
        <v>423</v>
      </c>
      <c r="J146" s="5" t="s">
        <v>410</v>
      </c>
      <c r="K146" s="5" t="str">
        <f t="shared" si="50"/>
        <v>基本工资、五险一金、双休、项目奖金、提成、年终奖金、带薪年假</v>
      </c>
    </row>
    <row r="147" spans="1:11" ht="21" customHeight="1" x14ac:dyDescent="0.25">
      <c r="A147" s="30">
        <f t="shared" si="56"/>
        <v>40</v>
      </c>
      <c r="B147" s="30" t="str">
        <f t="shared" si="57"/>
        <v>贵阳永青智控科技股份有限公司</v>
      </c>
      <c r="C147" s="30" t="str">
        <f t="shared" si="58"/>
        <v>国有企业</v>
      </c>
      <c r="D147" s="30" t="str">
        <f t="shared" si="59"/>
        <v>新型工业化</v>
      </c>
      <c r="E147" s="5" t="s">
        <v>424</v>
      </c>
      <c r="F147" s="5">
        <v>5</v>
      </c>
      <c r="G147" s="5" t="s">
        <v>412</v>
      </c>
      <c r="H147" s="5" t="s">
        <v>92</v>
      </c>
      <c r="I147" s="5" t="s">
        <v>425</v>
      </c>
      <c r="J147" s="5" t="s">
        <v>410</v>
      </c>
      <c r="K147" s="5" t="str">
        <f t="shared" si="50"/>
        <v>基本工资、五险一金、双休、项目奖金、提成、年终奖金、带薪年假</v>
      </c>
    </row>
    <row r="148" spans="1:11" ht="21" customHeight="1" x14ac:dyDescent="0.25">
      <c r="A148" s="30">
        <f t="shared" si="56"/>
        <v>40</v>
      </c>
      <c r="B148" s="30" t="str">
        <f t="shared" si="57"/>
        <v>贵阳永青智控科技股份有限公司</v>
      </c>
      <c r="C148" s="30" t="str">
        <f t="shared" si="58"/>
        <v>国有企业</v>
      </c>
      <c r="D148" s="30" t="str">
        <f t="shared" si="59"/>
        <v>新型工业化</v>
      </c>
      <c r="E148" s="5" t="s">
        <v>426</v>
      </c>
      <c r="F148" s="5">
        <v>5</v>
      </c>
      <c r="G148" s="5" t="s">
        <v>427</v>
      </c>
      <c r="H148" s="5" t="s">
        <v>92</v>
      </c>
      <c r="I148" s="5" t="s">
        <v>428</v>
      </c>
      <c r="J148" s="5" t="s">
        <v>410</v>
      </c>
      <c r="K148" s="5" t="str">
        <f t="shared" si="50"/>
        <v>基本工资、五险一金、双休、项目奖金、提成、年终奖金、带薪年假</v>
      </c>
    </row>
    <row r="149" spans="1:11" ht="21" customHeight="1" x14ac:dyDescent="0.25">
      <c r="A149" s="30">
        <f t="shared" si="56"/>
        <v>40</v>
      </c>
      <c r="B149" s="30" t="str">
        <f t="shared" si="57"/>
        <v>贵阳永青智控科技股份有限公司</v>
      </c>
      <c r="C149" s="30" t="str">
        <f t="shared" si="58"/>
        <v>国有企业</v>
      </c>
      <c r="D149" s="30" t="str">
        <f t="shared" si="59"/>
        <v>新型工业化</v>
      </c>
      <c r="E149" s="5" t="s">
        <v>429</v>
      </c>
      <c r="F149" s="5">
        <v>5</v>
      </c>
      <c r="G149" s="5" t="s">
        <v>430</v>
      </c>
      <c r="H149" s="5" t="s">
        <v>92</v>
      </c>
      <c r="I149" s="5" t="s">
        <v>431</v>
      </c>
      <c r="J149" s="5" t="s">
        <v>410</v>
      </c>
      <c r="K149" s="5" t="str">
        <f t="shared" si="50"/>
        <v>基本工资、五险一金、双休、项目奖金、提成、年终奖金、带薪年假</v>
      </c>
    </row>
    <row r="150" spans="1:11" ht="21" customHeight="1" x14ac:dyDescent="0.25">
      <c r="A150" s="30">
        <f t="shared" si="56"/>
        <v>40</v>
      </c>
      <c r="B150" s="30" t="str">
        <f t="shared" si="57"/>
        <v>贵阳永青智控科技股份有限公司</v>
      </c>
      <c r="C150" s="30" t="str">
        <f t="shared" si="58"/>
        <v>国有企业</v>
      </c>
      <c r="D150" s="30" t="str">
        <f t="shared" si="59"/>
        <v>新型工业化</v>
      </c>
      <c r="E150" s="5" t="s">
        <v>432</v>
      </c>
      <c r="F150" s="5">
        <v>5</v>
      </c>
      <c r="G150" s="5" t="s">
        <v>430</v>
      </c>
      <c r="H150" s="5" t="s">
        <v>92</v>
      </c>
      <c r="I150" s="5" t="s">
        <v>433</v>
      </c>
      <c r="J150" s="5" t="s">
        <v>410</v>
      </c>
      <c r="K150" s="5" t="str">
        <f t="shared" si="50"/>
        <v>基本工资、五险一金、双休、项目奖金、提成、年终奖金、带薪年假</v>
      </c>
    </row>
    <row r="151" spans="1:11" ht="21" customHeight="1" x14ac:dyDescent="0.25">
      <c r="A151" s="30">
        <f t="shared" si="56"/>
        <v>40</v>
      </c>
      <c r="B151" s="30" t="str">
        <f t="shared" si="57"/>
        <v>贵阳永青智控科技股份有限公司</v>
      </c>
      <c r="C151" s="30" t="str">
        <f t="shared" si="58"/>
        <v>国有企业</v>
      </c>
      <c r="D151" s="30" t="str">
        <f t="shared" si="59"/>
        <v>新型工业化</v>
      </c>
      <c r="E151" s="5" t="s">
        <v>434</v>
      </c>
      <c r="F151" s="5">
        <v>5</v>
      </c>
      <c r="G151" s="5" t="s">
        <v>435</v>
      </c>
      <c r="H151" s="5" t="s">
        <v>436</v>
      </c>
      <c r="I151" s="5" t="s">
        <v>437</v>
      </c>
      <c r="J151" s="5" t="s">
        <v>410</v>
      </c>
      <c r="K151" s="5" t="str">
        <f t="shared" si="50"/>
        <v>基本工资、五险一金、双休、项目奖金、提成、年终奖金、带薪年假</v>
      </c>
    </row>
    <row r="152" spans="1:11" ht="21" customHeight="1" x14ac:dyDescent="0.25">
      <c r="A152" s="7">
        <f t="shared" si="56"/>
        <v>40</v>
      </c>
      <c r="B152" s="7" t="str">
        <f t="shared" si="57"/>
        <v>贵阳永青智控科技股份有限公司</v>
      </c>
      <c r="C152" s="7" t="str">
        <f t="shared" si="58"/>
        <v>国有企业</v>
      </c>
      <c r="D152" s="7" t="str">
        <f t="shared" si="59"/>
        <v>新型工业化</v>
      </c>
      <c r="E152" s="5" t="s">
        <v>438</v>
      </c>
      <c r="F152" s="5">
        <v>5</v>
      </c>
      <c r="G152" s="5" t="s">
        <v>435</v>
      </c>
      <c r="H152" s="5" t="s">
        <v>436</v>
      </c>
      <c r="I152" s="5" t="s">
        <v>439</v>
      </c>
      <c r="J152" s="5" t="s">
        <v>410</v>
      </c>
      <c r="K152" s="5" t="str">
        <f t="shared" si="50"/>
        <v>基本工资、五险一金、双休、项目奖金、提成、年终奖金、带薪年假</v>
      </c>
    </row>
    <row r="153" spans="1:11" ht="21" customHeight="1" x14ac:dyDescent="0.25">
      <c r="A153" s="6">
        <v>41</v>
      </c>
      <c r="B153" s="6" t="s">
        <v>440</v>
      </c>
      <c r="C153" s="5" t="s">
        <v>11</v>
      </c>
      <c r="D153" s="5" t="s">
        <v>311</v>
      </c>
      <c r="E153" s="5" t="s">
        <v>441</v>
      </c>
      <c r="F153" s="5">
        <v>4</v>
      </c>
      <c r="G153" s="5" t="s">
        <v>442</v>
      </c>
      <c r="H153" s="5" t="s">
        <v>158</v>
      </c>
      <c r="I153" s="5" t="s">
        <v>443</v>
      </c>
      <c r="J153" s="5" t="s">
        <v>444</v>
      </c>
      <c r="K153" s="5" t="str">
        <f t="shared" si="50"/>
        <v>基本工资、五险一金、双休、项目奖金、提成、年终奖金、带薪年假</v>
      </c>
    </row>
    <row r="154" spans="1:11" ht="21" customHeight="1" x14ac:dyDescent="0.25">
      <c r="A154" s="30">
        <f t="shared" ref="A154:B155" si="60">A153</f>
        <v>41</v>
      </c>
      <c r="B154" s="30" t="str">
        <f t="shared" si="60"/>
        <v>贵州凯科特材料有限公司</v>
      </c>
      <c r="C154" s="5" t="s">
        <v>11</v>
      </c>
      <c r="D154" s="5" t="s">
        <v>311</v>
      </c>
      <c r="E154" s="5" t="s">
        <v>445</v>
      </c>
      <c r="F154" s="5">
        <v>1</v>
      </c>
      <c r="G154" s="5" t="s">
        <v>446</v>
      </c>
      <c r="H154" s="5" t="s">
        <v>158</v>
      </c>
      <c r="I154" s="5" t="s">
        <v>447</v>
      </c>
      <c r="J154" s="5" t="s">
        <v>444</v>
      </c>
      <c r="K154" s="5" t="str">
        <f t="shared" si="50"/>
        <v>基本工资、五险一金、双休、项目奖金、提成、年终奖金、带薪年假</v>
      </c>
    </row>
    <row r="155" spans="1:11" ht="21" customHeight="1" x14ac:dyDescent="0.25">
      <c r="A155" s="7">
        <f t="shared" si="60"/>
        <v>41</v>
      </c>
      <c r="B155" s="7" t="str">
        <f t="shared" si="60"/>
        <v>贵州凯科特材料有限公司</v>
      </c>
      <c r="C155" s="5" t="s">
        <v>11</v>
      </c>
      <c r="D155" s="5" t="s">
        <v>311</v>
      </c>
      <c r="E155" s="5" t="s">
        <v>448</v>
      </c>
      <c r="F155" s="5">
        <v>1</v>
      </c>
      <c r="G155" s="5" t="s">
        <v>449</v>
      </c>
      <c r="H155" s="5" t="s">
        <v>158</v>
      </c>
      <c r="I155" s="5" t="s">
        <v>450</v>
      </c>
      <c r="J155" s="5" t="s">
        <v>444</v>
      </c>
      <c r="K155" s="5" t="str">
        <f t="shared" ref="K155:K161" si="61">K154</f>
        <v>基本工资、五险一金、双休、项目奖金、提成、年终奖金、带薪年假</v>
      </c>
    </row>
    <row r="156" spans="1:11" ht="109.05" customHeight="1" x14ac:dyDescent="0.25">
      <c r="A156" s="7">
        <v>42</v>
      </c>
      <c r="B156" s="5" t="s">
        <v>451</v>
      </c>
      <c r="C156" s="5" t="s">
        <v>11</v>
      </c>
      <c r="D156" s="5" t="s">
        <v>101</v>
      </c>
      <c r="E156" s="5" t="s">
        <v>452</v>
      </c>
      <c r="F156" s="5">
        <v>15</v>
      </c>
      <c r="G156" s="5" t="s">
        <v>453</v>
      </c>
      <c r="H156" s="5" t="s">
        <v>454</v>
      </c>
      <c r="I156" s="5" t="s">
        <v>455</v>
      </c>
      <c r="J156" s="5" t="s">
        <v>456</v>
      </c>
      <c r="K156" s="5" t="str">
        <f t="shared" si="61"/>
        <v>基本工资、五险一金、双休、项目奖金、提成、年终奖金、带薪年假</v>
      </c>
    </row>
    <row r="157" spans="1:11" ht="21" customHeight="1" x14ac:dyDescent="0.25">
      <c r="A157" s="6">
        <v>43</v>
      </c>
      <c r="B157" s="6" t="s">
        <v>457</v>
      </c>
      <c r="C157" s="5" t="s">
        <v>11</v>
      </c>
      <c r="D157" s="5" t="s">
        <v>311</v>
      </c>
      <c r="E157" s="5" t="s">
        <v>458</v>
      </c>
      <c r="F157" s="5">
        <v>2</v>
      </c>
      <c r="G157" s="5" t="s">
        <v>459</v>
      </c>
      <c r="H157" s="5" t="s">
        <v>92</v>
      </c>
      <c r="I157" s="5" t="s">
        <v>460</v>
      </c>
      <c r="J157" s="5" t="s">
        <v>214</v>
      </c>
      <c r="K157" s="5" t="str">
        <f t="shared" si="61"/>
        <v>基本工资、五险一金、双休、项目奖金、提成、年终奖金、带薪年假</v>
      </c>
    </row>
    <row r="158" spans="1:11" ht="19.05" customHeight="1" x14ac:dyDescent="0.25">
      <c r="A158" s="30">
        <f t="shared" ref="A158:B160" si="62">A157</f>
        <v>43</v>
      </c>
      <c r="B158" s="30" t="str">
        <f t="shared" si="62"/>
        <v>极光湾（贵阳）发动机有限公司</v>
      </c>
      <c r="C158" s="5" t="s">
        <v>11</v>
      </c>
      <c r="D158" s="5" t="s">
        <v>311</v>
      </c>
      <c r="E158" s="5" t="s">
        <v>461</v>
      </c>
      <c r="F158" s="5">
        <v>2</v>
      </c>
      <c r="G158" s="5" t="s">
        <v>462</v>
      </c>
      <c r="H158" s="5" t="s">
        <v>92</v>
      </c>
      <c r="I158" s="5" t="s">
        <v>463</v>
      </c>
      <c r="J158" s="5" t="s">
        <v>214</v>
      </c>
      <c r="K158" s="5" t="str">
        <f t="shared" si="61"/>
        <v>基本工资、五险一金、双休、项目奖金、提成、年终奖金、带薪年假</v>
      </c>
    </row>
    <row r="159" spans="1:11" ht="21" customHeight="1" x14ac:dyDescent="0.25">
      <c r="A159" s="30">
        <f t="shared" si="62"/>
        <v>43</v>
      </c>
      <c r="B159" s="30" t="str">
        <f t="shared" si="62"/>
        <v>极光湾（贵阳）发动机有限公司</v>
      </c>
      <c r="C159" s="5" t="s">
        <v>11</v>
      </c>
      <c r="D159" s="5" t="s">
        <v>311</v>
      </c>
      <c r="E159" s="5" t="s">
        <v>464</v>
      </c>
      <c r="F159" s="5">
        <v>2</v>
      </c>
      <c r="G159" s="5" t="s">
        <v>465</v>
      </c>
      <c r="H159" s="5" t="s">
        <v>92</v>
      </c>
      <c r="I159" s="5" t="s">
        <v>466</v>
      </c>
      <c r="J159" s="5" t="s">
        <v>214</v>
      </c>
      <c r="K159" s="5" t="str">
        <f t="shared" si="61"/>
        <v>基本工资、五险一金、双休、项目奖金、提成、年终奖金、带薪年假</v>
      </c>
    </row>
    <row r="160" spans="1:11" ht="21" customHeight="1" x14ac:dyDescent="0.25">
      <c r="A160" s="7">
        <f t="shared" si="62"/>
        <v>43</v>
      </c>
      <c r="B160" s="7" t="str">
        <f t="shared" si="62"/>
        <v>极光湾（贵阳）发动机有限公司</v>
      </c>
      <c r="C160" s="5" t="s">
        <v>11</v>
      </c>
      <c r="D160" s="5" t="s">
        <v>311</v>
      </c>
      <c r="E160" s="5" t="s">
        <v>467</v>
      </c>
      <c r="F160" s="5">
        <v>2</v>
      </c>
      <c r="G160" s="5" t="s">
        <v>468</v>
      </c>
      <c r="H160" s="5" t="s">
        <v>92</v>
      </c>
      <c r="I160" s="5" t="s">
        <v>469</v>
      </c>
      <c r="J160" s="5" t="s">
        <v>214</v>
      </c>
      <c r="K160" s="5" t="str">
        <f t="shared" si="61"/>
        <v>基本工资、五险一金、双休、项目奖金、提成、年终奖金、带薪年假</v>
      </c>
    </row>
    <row r="161" spans="1:11" ht="42" customHeight="1" x14ac:dyDescent="0.25">
      <c r="A161" s="30">
        <v>44</v>
      </c>
      <c r="B161" s="6" t="s">
        <v>470</v>
      </c>
      <c r="C161" s="30" t="s">
        <v>11</v>
      </c>
      <c r="D161" s="30" t="s">
        <v>221</v>
      </c>
      <c r="E161" s="5" t="s">
        <v>471</v>
      </c>
      <c r="F161" s="5">
        <v>20</v>
      </c>
      <c r="G161" s="6" t="s">
        <v>472</v>
      </c>
      <c r="H161" s="5" t="s">
        <v>204</v>
      </c>
      <c r="I161" s="5" t="str">
        <f t="shared" ref="I161:I187" si="63">I160</f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61" s="30" t="s">
        <v>473</v>
      </c>
      <c r="K161" s="5" t="str">
        <f t="shared" si="61"/>
        <v>基本工资、五险一金、双休、项目奖金、提成、年终奖金、带薪年假</v>
      </c>
    </row>
    <row r="162" spans="1:11" ht="37.049999999999997" customHeight="1" x14ac:dyDescent="0.25">
      <c r="A162" s="30">
        <f t="shared" ref="A162:D164" si="64">A161</f>
        <v>44</v>
      </c>
      <c r="B162" s="30" t="str">
        <f t="shared" si="64"/>
        <v>安吉热威电热科技有限公司</v>
      </c>
      <c r="C162" s="30" t="str">
        <f t="shared" si="64"/>
        <v>民营企业</v>
      </c>
      <c r="D162" s="30" t="str">
        <f t="shared" si="64"/>
        <v>制造业</v>
      </c>
      <c r="E162" s="5" t="s">
        <v>474</v>
      </c>
      <c r="F162" s="5">
        <v>50</v>
      </c>
      <c r="G162" s="30" t="str">
        <f t="shared" ref="G162:G164" si="65">G161</f>
        <v>智能制造类
机械机电类
自动化技术计算机技术数控技术
材料类等理工科专业</v>
      </c>
      <c r="H162" s="5" t="s">
        <v>204</v>
      </c>
      <c r="I162" s="5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62" s="30" t="str">
        <f t="shared" ref="J162:K164" si="66">J161</f>
        <v>贵阳市观山湖区北大资源梦想城s06栋</v>
      </c>
      <c r="K162" s="7" t="str">
        <f t="shared" si="66"/>
        <v>基本工资、五险一金、双休、项目奖金、提成、年终奖金、带薪年假</v>
      </c>
    </row>
    <row r="163" spans="1:11" ht="37.950000000000003" customHeight="1" x14ac:dyDescent="0.25">
      <c r="A163" s="30">
        <f t="shared" si="64"/>
        <v>44</v>
      </c>
      <c r="B163" s="30" t="str">
        <f t="shared" si="64"/>
        <v>安吉热威电热科技有限公司</v>
      </c>
      <c r="C163" s="30" t="str">
        <f t="shared" si="64"/>
        <v>民营企业</v>
      </c>
      <c r="D163" s="30" t="str">
        <f t="shared" si="64"/>
        <v>制造业</v>
      </c>
      <c r="E163" s="5" t="s">
        <v>475</v>
      </c>
      <c r="F163" s="5">
        <v>50</v>
      </c>
      <c r="G163" s="30" t="str">
        <f t="shared" si="65"/>
        <v>智能制造类
机械机电类
自动化技术计算机技术数控技术
材料类等理工科专业</v>
      </c>
      <c r="H163" s="5" t="s">
        <v>204</v>
      </c>
      <c r="I163" s="5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63" s="30" t="str">
        <f t="shared" si="66"/>
        <v>贵阳市观山湖区北大资源梦想城s06栋</v>
      </c>
      <c r="K163" s="7" t="str">
        <f t="shared" si="66"/>
        <v>基本工资、五险一金、双休、项目奖金、提成、年终奖金、带薪年假</v>
      </c>
    </row>
    <row r="164" spans="1:11" ht="40.950000000000003" customHeight="1" x14ac:dyDescent="0.25">
      <c r="A164" s="7">
        <f t="shared" si="64"/>
        <v>44</v>
      </c>
      <c r="B164" s="7" t="str">
        <f t="shared" si="64"/>
        <v>安吉热威电热科技有限公司</v>
      </c>
      <c r="C164" s="7" t="str">
        <f t="shared" si="64"/>
        <v>民营企业</v>
      </c>
      <c r="D164" s="7" t="str">
        <f t="shared" si="64"/>
        <v>制造业</v>
      </c>
      <c r="E164" s="5" t="s">
        <v>476</v>
      </c>
      <c r="F164" s="5">
        <v>50</v>
      </c>
      <c r="G164" s="7" t="str">
        <f t="shared" si="65"/>
        <v>智能制造类
机械机电类
自动化技术计算机技术数控技术
材料类等理工科专业</v>
      </c>
      <c r="H164" s="5" t="s">
        <v>204</v>
      </c>
      <c r="I164" s="5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64" s="7" t="str">
        <f t="shared" si="66"/>
        <v>贵阳市观山湖区北大资源梦想城s06栋</v>
      </c>
      <c r="K164" s="7" t="str">
        <f t="shared" si="66"/>
        <v>基本工资、五险一金、双休、项目奖金、提成、年终奖金、带薪年假</v>
      </c>
    </row>
    <row r="165" spans="1:11" ht="40.049999999999997" customHeight="1" x14ac:dyDescent="0.25">
      <c r="A165" s="30">
        <v>45</v>
      </c>
      <c r="B165" s="6" t="s">
        <v>477</v>
      </c>
      <c r="C165" s="30" t="s">
        <v>11</v>
      </c>
      <c r="D165" s="30" t="s">
        <v>20</v>
      </c>
      <c r="E165" s="5" t="s">
        <v>478</v>
      </c>
      <c r="F165" s="5">
        <v>80</v>
      </c>
      <c r="G165" s="5" t="s">
        <v>14</v>
      </c>
      <c r="H165" s="5" t="s">
        <v>204</v>
      </c>
      <c r="I165" s="5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65" s="30" t="s">
        <v>479</v>
      </c>
      <c r="K165" s="30" t="s">
        <v>480</v>
      </c>
    </row>
    <row r="166" spans="1:11" ht="21" customHeight="1" x14ac:dyDescent="0.25">
      <c r="A166" s="30">
        <f t="shared" ref="A166:D169" si="67">A165</f>
        <v>45</v>
      </c>
      <c r="B166" s="30" t="str">
        <f t="shared" si="67"/>
        <v>贵州蝶飞美容服务有限公司</v>
      </c>
      <c r="C166" s="30" t="str">
        <f t="shared" si="67"/>
        <v>民营企业</v>
      </c>
      <c r="D166" s="30" t="str">
        <f t="shared" si="67"/>
        <v>现代服务业</v>
      </c>
      <c r="E166" s="5" t="s">
        <v>481</v>
      </c>
      <c r="F166" s="5">
        <v>20</v>
      </c>
      <c r="G166" s="5" t="s">
        <v>14</v>
      </c>
      <c r="H166" s="5" t="s">
        <v>204</v>
      </c>
      <c r="I166" s="5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66" s="30" t="str">
        <f t="shared" ref="J166:J169" si="68">J165</f>
        <v>贵阳市观山湖、云岩区、南明区以及乌当均可安排</v>
      </c>
      <c r="K166" s="30" t="str">
        <f t="shared" ref="K166:K170" si="69">K165</f>
        <v>五险、带薪年假</v>
      </c>
    </row>
    <row r="167" spans="1:11" ht="21" customHeight="1" x14ac:dyDescent="0.25">
      <c r="A167" s="30">
        <f t="shared" si="67"/>
        <v>45</v>
      </c>
      <c r="B167" s="30" t="str">
        <f t="shared" si="67"/>
        <v>贵州蝶飞美容服务有限公司</v>
      </c>
      <c r="C167" s="30" t="str">
        <f t="shared" si="67"/>
        <v>民营企业</v>
      </c>
      <c r="D167" s="30" t="str">
        <f t="shared" si="67"/>
        <v>现代服务业</v>
      </c>
      <c r="E167" s="5" t="s">
        <v>482</v>
      </c>
      <c r="F167" s="5">
        <v>5</v>
      </c>
      <c r="G167" s="5" t="s">
        <v>14</v>
      </c>
      <c r="H167" s="5" t="s">
        <v>33</v>
      </c>
      <c r="I167" s="5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67" s="30" t="str">
        <f t="shared" si="68"/>
        <v>贵阳市观山湖、云岩区、南明区以及乌当均可安排</v>
      </c>
      <c r="K167" s="30" t="str">
        <f t="shared" si="69"/>
        <v>五险、带薪年假</v>
      </c>
    </row>
    <row r="168" spans="1:11" ht="21" customHeight="1" x14ac:dyDescent="0.25">
      <c r="A168" s="30">
        <f t="shared" si="67"/>
        <v>45</v>
      </c>
      <c r="B168" s="30" t="str">
        <f t="shared" si="67"/>
        <v>贵州蝶飞美容服务有限公司</v>
      </c>
      <c r="C168" s="30" t="str">
        <f t="shared" si="67"/>
        <v>民营企业</v>
      </c>
      <c r="D168" s="30" t="str">
        <f t="shared" si="67"/>
        <v>现代服务业</v>
      </c>
      <c r="E168" s="5" t="s">
        <v>483</v>
      </c>
      <c r="F168" s="5">
        <v>15</v>
      </c>
      <c r="G168" s="5" t="s">
        <v>484</v>
      </c>
      <c r="H168" s="5" t="s">
        <v>204</v>
      </c>
      <c r="I168" s="5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68" s="30" t="str">
        <f t="shared" si="68"/>
        <v>贵阳市观山湖、云岩区、南明区以及乌当均可安排</v>
      </c>
      <c r="K168" s="30" t="str">
        <f t="shared" si="69"/>
        <v>五险、带薪年假</v>
      </c>
    </row>
    <row r="169" spans="1:11" ht="21" customHeight="1" x14ac:dyDescent="0.25">
      <c r="A169" s="7">
        <f t="shared" si="67"/>
        <v>45</v>
      </c>
      <c r="B169" s="7" t="str">
        <f t="shared" si="67"/>
        <v>贵州蝶飞美容服务有限公司</v>
      </c>
      <c r="C169" s="7" t="str">
        <f t="shared" si="67"/>
        <v>民营企业</v>
      </c>
      <c r="D169" s="7" t="str">
        <f t="shared" si="67"/>
        <v>现代服务业</v>
      </c>
      <c r="E169" s="5" t="s">
        <v>485</v>
      </c>
      <c r="F169" s="5">
        <v>2</v>
      </c>
      <c r="G169" s="5" t="s">
        <v>486</v>
      </c>
      <c r="H169" s="5" t="s">
        <v>158</v>
      </c>
      <c r="I169" s="5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69" s="7" t="str">
        <f t="shared" si="68"/>
        <v>贵阳市观山湖、云岩区、南明区以及乌当均可安排</v>
      </c>
      <c r="K169" s="7" t="str">
        <f t="shared" si="69"/>
        <v>五险、带薪年假</v>
      </c>
    </row>
    <row r="170" spans="1:11" ht="34.049999999999997" customHeight="1" x14ac:dyDescent="0.25">
      <c r="A170" s="5">
        <v>46</v>
      </c>
      <c r="B170" s="5" t="s">
        <v>487</v>
      </c>
      <c r="C170" s="5" t="s">
        <v>11</v>
      </c>
      <c r="D170" s="5" t="s">
        <v>20</v>
      </c>
      <c r="E170" s="5" t="s">
        <v>488</v>
      </c>
      <c r="F170" s="5">
        <v>20</v>
      </c>
      <c r="G170" s="5" t="s">
        <v>489</v>
      </c>
      <c r="H170" s="5" t="s">
        <v>204</v>
      </c>
      <c r="I170" s="5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70" s="5" t="s">
        <v>490</v>
      </c>
      <c r="K170" s="7" t="str">
        <f t="shared" si="69"/>
        <v>五险、带薪年假</v>
      </c>
    </row>
    <row r="171" spans="1:11" ht="34.049999999999997" customHeight="1" x14ac:dyDescent="0.25">
      <c r="A171" s="5">
        <f t="shared" ref="A171:D172" si="70">A170</f>
        <v>46</v>
      </c>
      <c r="B171" s="5" t="str">
        <f t="shared" si="70"/>
        <v>贵州齐晋企业管理有限公司</v>
      </c>
      <c r="C171" s="5" t="str">
        <f t="shared" si="70"/>
        <v>民营企业</v>
      </c>
      <c r="D171" s="5" t="str">
        <f t="shared" si="70"/>
        <v>现代服务业</v>
      </c>
      <c r="E171" s="5" t="s">
        <v>491</v>
      </c>
      <c r="F171" s="5">
        <v>5</v>
      </c>
      <c r="G171" s="5" t="s">
        <v>492</v>
      </c>
      <c r="H171" s="5" t="s">
        <v>204</v>
      </c>
      <c r="I171" s="5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71" s="5" t="str">
        <f t="shared" ref="J171:K172" si="71">J170</f>
        <v>贵阳市双子塔东塔2807</v>
      </c>
      <c r="K171" s="7" t="str">
        <f t="shared" si="71"/>
        <v>五险、带薪年假</v>
      </c>
    </row>
    <row r="172" spans="1:11" ht="30" customHeight="1" x14ac:dyDescent="0.25">
      <c r="A172" s="5">
        <f t="shared" si="70"/>
        <v>46</v>
      </c>
      <c r="B172" s="5" t="str">
        <f t="shared" si="70"/>
        <v>贵州齐晋企业管理有限公司</v>
      </c>
      <c r="C172" s="5" t="str">
        <f t="shared" si="70"/>
        <v>民营企业</v>
      </c>
      <c r="D172" s="5" t="str">
        <f t="shared" si="70"/>
        <v>现代服务业</v>
      </c>
      <c r="E172" s="10" t="s">
        <v>493</v>
      </c>
      <c r="F172" s="10">
        <v>20</v>
      </c>
      <c r="G172" s="10" t="s">
        <v>494</v>
      </c>
      <c r="H172" s="10" t="s">
        <v>204</v>
      </c>
      <c r="I172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72" s="5" t="str">
        <f t="shared" si="71"/>
        <v>贵阳市双子塔东塔2807</v>
      </c>
      <c r="K172" s="9" t="str">
        <f t="shared" si="71"/>
        <v>五险、带薪年假</v>
      </c>
    </row>
    <row r="173" spans="1:11" ht="39" customHeight="1" x14ac:dyDescent="0.25">
      <c r="A173" s="32">
        <v>47</v>
      </c>
      <c r="B173" s="30" t="s">
        <v>495</v>
      </c>
      <c r="C173" s="32" t="s">
        <v>11</v>
      </c>
      <c r="D173" s="32" t="s">
        <v>20</v>
      </c>
      <c r="E173" s="10" t="s">
        <v>496</v>
      </c>
      <c r="F173" s="10">
        <v>5</v>
      </c>
      <c r="G173" s="10" t="s">
        <v>14</v>
      </c>
      <c r="H173" s="10" t="s">
        <v>204</v>
      </c>
      <c r="I173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73" s="5" t="s">
        <v>497</v>
      </c>
      <c r="K173" s="30" t="s">
        <v>498</v>
      </c>
    </row>
    <row r="174" spans="1:11" ht="21" customHeight="1" x14ac:dyDescent="0.25">
      <c r="A174" s="32">
        <f t="shared" ref="A174:D178" si="72">A173</f>
        <v>47</v>
      </c>
      <c r="B174" s="30" t="str">
        <f t="shared" si="72"/>
        <v>贵州欣福智能装饰工程有限公司</v>
      </c>
      <c r="C174" s="32" t="str">
        <f t="shared" si="72"/>
        <v>民营企业</v>
      </c>
      <c r="D174" s="32" t="str">
        <f t="shared" si="72"/>
        <v>现代服务业</v>
      </c>
      <c r="E174" s="10" t="s">
        <v>499</v>
      </c>
      <c r="F174" s="10">
        <v>30</v>
      </c>
      <c r="G174" s="10" t="s">
        <v>14</v>
      </c>
      <c r="H174" s="10" t="s">
        <v>204</v>
      </c>
      <c r="I174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74" s="5" t="str">
        <f t="shared" ref="J174:J178" si="73">J173</f>
        <v>观山湖大唐东原财富广场3栋8-1室</v>
      </c>
      <c r="K174" s="32" t="str">
        <f t="shared" ref="K174:K179" si="74">K173</f>
        <v>以上所有岗位除底薪，提成当天签单当天发放，底薪+提成+节假日带薪调休+生日福利+团建+节假日礼品+社保补贴+年终奖+餐补+话补，
上班时间：朝九晚六  上六休一</v>
      </c>
    </row>
    <row r="175" spans="1:11" ht="21" customHeight="1" x14ac:dyDescent="0.25">
      <c r="A175" s="32">
        <f t="shared" si="72"/>
        <v>47</v>
      </c>
      <c r="B175" s="30" t="str">
        <f t="shared" si="72"/>
        <v>贵州欣福智能装饰工程有限公司</v>
      </c>
      <c r="C175" s="32" t="str">
        <f t="shared" si="72"/>
        <v>民营企业</v>
      </c>
      <c r="D175" s="32" t="str">
        <f t="shared" si="72"/>
        <v>现代服务业</v>
      </c>
      <c r="E175" s="10" t="s">
        <v>500</v>
      </c>
      <c r="F175" s="10">
        <v>15</v>
      </c>
      <c r="G175" s="10" t="s">
        <v>14</v>
      </c>
      <c r="H175" s="10" t="s">
        <v>204</v>
      </c>
      <c r="I175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75" s="5" t="str">
        <f t="shared" si="73"/>
        <v>观山湖大唐东原财富广场3栋8-1室</v>
      </c>
      <c r="K175" s="32" t="str">
        <f t="shared" si="74"/>
        <v>以上所有岗位除底薪，提成当天签单当天发放，底薪+提成+节假日带薪调休+生日福利+团建+节假日礼品+社保补贴+年终奖+餐补+话补，
上班时间：朝九晚六  上六休一</v>
      </c>
    </row>
    <row r="176" spans="1:11" ht="21" customHeight="1" x14ac:dyDescent="0.25">
      <c r="A176" s="32">
        <f t="shared" si="72"/>
        <v>47</v>
      </c>
      <c r="B176" s="30" t="str">
        <f t="shared" si="72"/>
        <v>贵州欣福智能装饰工程有限公司</v>
      </c>
      <c r="C176" s="32" t="str">
        <f t="shared" si="72"/>
        <v>民营企业</v>
      </c>
      <c r="D176" s="32" t="str">
        <f t="shared" si="72"/>
        <v>现代服务业</v>
      </c>
      <c r="E176" s="10" t="s">
        <v>501</v>
      </c>
      <c r="F176" s="10">
        <v>20</v>
      </c>
      <c r="G176" s="10" t="s">
        <v>14</v>
      </c>
      <c r="H176" s="10" t="s">
        <v>204</v>
      </c>
      <c r="I176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76" s="5" t="str">
        <f t="shared" si="73"/>
        <v>观山湖大唐东原财富广场3栋8-1室</v>
      </c>
      <c r="K176" s="32" t="str">
        <f t="shared" si="74"/>
        <v>以上所有岗位除底薪，提成当天签单当天发放，底薪+提成+节假日带薪调休+生日福利+团建+节假日礼品+社保补贴+年终奖+餐补+话补，
上班时间：朝九晚六  上六休一</v>
      </c>
    </row>
    <row r="177" spans="1:11" ht="21" customHeight="1" x14ac:dyDescent="0.25">
      <c r="A177" s="32">
        <f t="shared" si="72"/>
        <v>47</v>
      </c>
      <c r="B177" s="30" t="str">
        <f t="shared" si="72"/>
        <v>贵州欣福智能装饰工程有限公司</v>
      </c>
      <c r="C177" s="32" t="str">
        <f t="shared" si="72"/>
        <v>民营企业</v>
      </c>
      <c r="D177" s="32" t="str">
        <f t="shared" si="72"/>
        <v>现代服务业</v>
      </c>
      <c r="E177" s="10" t="s">
        <v>502</v>
      </c>
      <c r="F177" s="10">
        <v>5</v>
      </c>
      <c r="G177" s="10" t="s">
        <v>503</v>
      </c>
      <c r="H177" s="10" t="s">
        <v>204</v>
      </c>
      <c r="I177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77" s="5" t="str">
        <f t="shared" si="73"/>
        <v>观山湖大唐东原财富广场3栋8-1室</v>
      </c>
      <c r="K177" s="32" t="str">
        <f t="shared" si="74"/>
        <v>以上所有岗位除底薪，提成当天签单当天发放，底薪+提成+节假日带薪调休+生日福利+团建+节假日礼品+社保补贴+年终奖+餐补+话补，
上班时间：朝九晚六  上六休一</v>
      </c>
    </row>
    <row r="178" spans="1:11" ht="21" customHeight="1" x14ac:dyDescent="0.25">
      <c r="A178" s="9">
        <f t="shared" si="72"/>
        <v>47</v>
      </c>
      <c r="B178" s="7" t="str">
        <f t="shared" si="72"/>
        <v>贵州欣福智能装饰工程有限公司</v>
      </c>
      <c r="C178" s="9" t="str">
        <f t="shared" si="72"/>
        <v>民营企业</v>
      </c>
      <c r="D178" s="9" t="str">
        <f t="shared" si="72"/>
        <v>现代服务业</v>
      </c>
      <c r="E178" s="10" t="s">
        <v>504</v>
      </c>
      <c r="F178" s="10">
        <v>3</v>
      </c>
      <c r="G178" s="10" t="s">
        <v>503</v>
      </c>
      <c r="H178" s="10" t="s">
        <v>204</v>
      </c>
      <c r="I178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78" s="5" t="str">
        <f t="shared" si="73"/>
        <v>观山湖大唐东原财富广场3栋8-1室</v>
      </c>
      <c r="K178" s="9" t="str">
        <f t="shared" si="74"/>
        <v>以上所有岗位除底薪，提成当天签单当天发放，底薪+提成+节假日带薪调休+生日福利+团建+节假日礼品+社保补贴+年终奖+餐补+话补，
上班时间：朝九晚六  上六休一</v>
      </c>
    </row>
    <row r="179" spans="1:11" ht="52.95" customHeight="1" x14ac:dyDescent="0.25">
      <c r="A179" s="10">
        <v>48</v>
      </c>
      <c r="B179" s="5" t="s">
        <v>505</v>
      </c>
      <c r="C179" s="10" t="s">
        <v>11</v>
      </c>
      <c r="D179" s="10" t="s">
        <v>311</v>
      </c>
      <c r="E179" s="10" t="s">
        <v>506</v>
      </c>
      <c r="F179" s="10">
        <v>50</v>
      </c>
      <c r="G179" s="5" t="s">
        <v>507</v>
      </c>
      <c r="H179" s="10" t="s">
        <v>204</v>
      </c>
      <c r="I179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79" s="10" t="s">
        <v>508</v>
      </c>
      <c r="K179" s="9" t="str">
        <f t="shared" si="74"/>
        <v>以上所有岗位除底薪，提成当天签单当天发放，底薪+提成+节假日带薪调休+生日福利+团建+节假日礼品+社保补贴+年终奖+餐补+话补，
上班时间：朝九晚六  上六休一</v>
      </c>
    </row>
    <row r="180" spans="1:11" ht="21" customHeight="1" x14ac:dyDescent="0.25">
      <c r="A180" s="10">
        <f t="shared" ref="A180:D183" si="75">A179</f>
        <v>48</v>
      </c>
      <c r="B180" s="5" t="str">
        <f t="shared" si="75"/>
        <v>极光湾（义乌）动力总成有限公司</v>
      </c>
      <c r="C180" s="10" t="str">
        <f t="shared" si="75"/>
        <v>民营企业</v>
      </c>
      <c r="D180" s="10" t="str">
        <f t="shared" si="75"/>
        <v>新型工业化</v>
      </c>
      <c r="E180" s="10" t="s">
        <v>509</v>
      </c>
      <c r="F180" s="10">
        <v>50</v>
      </c>
      <c r="G180" s="5" t="str">
        <f t="shared" ref="G180:G183" si="76">G179</f>
        <v>汽车、机械、机电、电气、数控、物流等相关专业</v>
      </c>
      <c r="H180" s="10" t="s">
        <v>204</v>
      </c>
      <c r="I180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80" s="10" t="str">
        <f t="shared" ref="J180:K183" si="77">J179</f>
        <v>贵阳市观山湖区</v>
      </c>
      <c r="K180" s="9" t="str">
        <f t="shared" si="77"/>
        <v>以上所有岗位除底薪，提成当天签单当天发放，底薪+提成+节假日带薪调休+生日福利+团建+节假日礼品+社保补贴+年终奖+餐补+话补，
上班时间：朝九晚六  上六休一</v>
      </c>
    </row>
    <row r="181" spans="1:11" ht="21" customHeight="1" x14ac:dyDescent="0.25">
      <c r="A181" s="10">
        <f t="shared" si="75"/>
        <v>48</v>
      </c>
      <c r="B181" s="5" t="str">
        <f t="shared" si="75"/>
        <v>极光湾（义乌）动力总成有限公司</v>
      </c>
      <c r="C181" s="10" t="str">
        <f t="shared" si="75"/>
        <v>民营企业</v>
      </c>
      <c r="D181" s="10" t="str">
        <f t="shared" si="75"/>
        <v>新型工业化</v>
      </c>
      <c r="E181" s="10" t="s">
        <v>510</v>
      </c>
      <c r="F181" s="10">
        <v>50</v>
      </c>
      <c r="G181" s="5" t="str">
        <f t="shared" si="76"/>
        <v>汽车、机械、机电、电气、数控、物流等相关专业</v>
      </c>
      <c r="H181" s="10" t="s">
        <v>204</v>
      </c>
      <c r="I181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81" s="10" t="str">
        <f t="shared" si="77"/>
        <v>贵阳市观山湖区</v>
      </c>
      <c r="K181" s="9" t="str">
        <f t="shared" si="77"/>
        <v>以上所有岗位除底薪，提成当天签单当天发放，底薪+提成+节假日带薪调休+生日福利+团建+节假日礼品+社保补贴+年终奖+餐补+话补，
上班时间：朝九晚六  上六休一</v>
      </c>
    </row>
    <row r="182" spans="1:11" ht="21" customHeight="1" x14ac:dyDescent="0.25">
      <c r="A182" s="10">
        <f t="shared" si="75"/>
        <v>48</v>
      </c>
      <c r="B182" s="5" t="str">
        <f t="shared" si="75"/>
        <v>极光湾（义乌）动力总成有限公司</v>
      </c>
      <c r="C182" s="10" t="str">
        <f t="shared" si="75"/>
        <v>民营企业</v>
      </c>
      <c r="D182" s="10" t="str">
        <f t="shared" si="75"/>
        <v>新型工业化</v>
      </c>
      <c r="E182" s="10" t="s">
        <v>511</v>
      </c>
      <c r="F182" s="10">
        <v>50</v>
      </c>
      <c r="G182" s="5" t="str">
        <f t="shared" si="76"/>
        <v>汽车、机械、机电、电气、数控、物流等相关专业</v>
      </c>
      <c r="H182" s="10" t="s">
        <v>204</v>
      </c>
      <c r="I182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82" s="10" t="str">
        <f t="shared" si="77"/>
        <v>贵阳市观山湖区</v>
      </c>
      <c r="K182" s="9" t="str">
        <f t="shared" si="77"/>
        <v>以上所有岗位除底薪，提成当天签单当天发放，底薪+提成+节假日带薪调休+生日福利+团建+节假日礼品+社保补贴+年终奖+餐补+话补，
上班时间：朝九晚六  上六休一</v>
      </c>
    </row>
    <row r="183" spans="1:11" ht="21" customHeight="1" x14ac:dyDescent="0.25">
      <c r="A183" s="10">
        <f t="shared" si="75"/>
        <v>48</v>
      </c>
      <c r="B183" s="5" t="str">
        <f t="shared" si="75"/>
        <v>极光湾（义乌）动力总成有限公司</v>
      </c>
      <c r="C183" s="10" t="str">
        <f t="shared" si="75"/>
        <v>民营企业</v>
      </c>
      <c r="D183" s="10" t="str">
        <f t="shared" si="75"/>
        <v>新型工业化</v>
      </c>
      <c r="E183" s="10" t="s">
        <v>474</v>
      </c>
      <c r="F183" s="10">
        <v>50</v>
      </c>
      <c r="G183" s="5" t="str">
        <f t="shared" si="76"/>
        <v>汽车、机械、机电、电气、数控、物流等相关专业</v>
      </c>
      <c r="H183" s="10" t="s">
        <v>204</v>
      </c>
      <c r="I183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83" s="10" t="str">
        <f t="shared" si="77"/>
        <v>贵阳市观山湖区</v>
      </c>
      <c r="K183" s="9" t="str">
        <f t="shared" si="77"/>
        <v>以上所有岗位除底薪，提成当天签单当天发放，底薪+提成+节假日带薪调休+生日福利+团建+节假日礼品+社保补贴+年终奖+餐补+话补，
上班时间：朝九晚六  上六休一</v>
      </c>
    </row>
    <row r="184" spans="1:11" ht="27" customHeight="1" x14ac:dyDescent="0.25">
      <c r="A184" s="10">
        <v>49</v>
      </c>
      <c r="B184" s="5" t="s">
        <v>512</v>
      </c>
      <c r="C184" s="10" t="s">
        <v>306</v>
      </c>
      <c r="D184" s="10" t="s">
        <v>221</v>
      </c>
      <c r="E184" s="10" t="s">
        <v>471</v>
      </c>
      <c r="F184" s="10">
        <v>50</v>
      </c>
      <c r="G184" s="5" t="s">
        <v>472</v>
      </c>
      <c r="H184" s="10" t="s">
        <v>204</v>
      </c>
      <c r="I184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84" s="10" t="s">
        <v>508</v>
      </c>
      <c r="K184" s="32" t="s">
        <v>513</v>
      </c>
    </row>
    <row r="185" spans="1:11" ht="25.95" customHeight="1" x14ac:dyDescent="0.25">
      <c r="A185" s="10">
        <f t="shared" ref="A185:D186" si="78">A184</f>
        <v>49</v>
      </c>
      <c r="B185" s="5" t="str">
        <f t="shared" si="78"/>
        <v>奇瑞汽车股份有限公司</v>
      </c>
      <c r="C185" s="10" t="str">
        <f t="shared" si="78"/>
        <v>国有企业</v>
      </c>
      <c r="D185" s="10" t="str">
        <f t="shared" si="78"/>
        <v>制造业</v>
      </c>
      <c r="E185" s="10" t="s">
        <v>474</v>
      </c>
      <c r="F185" s="10">
        <v>50</v>
      </c>
      <c r="G185" s="10" t="str">
        <f t="shared" ref="G185:H186" si="79">G184</f>
        <v>智能制造类
机械机电类
自动化技术计算机技术数控技术
材料类等理工科专业</v>
      </c>
      <c r="H185" s="10" t="str">
        <f t="shared" si="79"/>
        <v>大专及以上</v>
      </c>
      <c r="I185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85" s="10" t="str">
        <f t="shared" ref="J185:K186" si="80">J184</f>
        <v>贵阳市观山湖区</v>
      </c>
      <c r="K185" s="32" t="str">
        <f t="shared" si="80"/>
        <v>缴纳五险一金</v>
      </c>
    </row>
    <row r="186" spans="1:11" ht="28.05" customHeight="1" x14ac:dyDescent="0.25">
      <c r="A186" s="10">
        <f t="shared" si="78"/>
        <v>49</v>
      </c>
      <c r="B186" s="5" t="str">
        <f t="shared" si="78"/>
        <v>奇瑞汽车股份有限公司</v>
      </c>
      <c r="C186" s="10" t="str">
        <f t="shared" si="78"/>
        <v>国有企业</v>
      </c>
      <c r="D186" s="10" t="str">
        <f t="shared" si="78"/>
        <v>制造业</v>
      </c>
      <c r="E186" s="10" t="s">
        <v>475</v>
      </c>
      <c r="F186" s="10">
        <v>50</v>
      </c>
      <c r="G186" s="10" t="str">
        <f t="shared" si="79"/>
        <v>智能制造类
机械机电类
自动化技术计算机技术数控技术
材料类等理工科专业</v>
      </c>
      <c r="H186" s="10" t="str">
        <f t="shared" si="79"/>
        <v>大专及以上</v>
      </c>
      <c r="I186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86" s="10" t="str">
        <f t="shared" si="80"/>
        <v>贵阳市观山湖区</v>
      </c>
      <c r="K186" s="9" t="str">
        <f t="shared" si="80"/>
        <v>缴纳五险一金</v>
      </c>
    </row>
    <row r="187" spans="1:11" ht="49.95" customHeight="1" x14ac:dyDescent="0.25">
      <c r="A187" s="32">
        <v>50</v>
      </c>
      <c r="B187" s="30" t="s">
        <v>514</v>
      </c>
      <c r="C187" s="32" t="s">
        <v>306</v>
      </c>
      <c r="D187" s="32" t="s">
        <v>221</v>
      </c>
      <c r="E187" s="10" t="s">
        <v>515</v>
      </c>
      <c r="F187" s="10">
        <v>50</v>
      </c>
      <c r="G187" s="6" t="s">
        <v>472</v>
      </c>
      <c r="H187" s="31" t="s">
        <v>204</v>
      </c>
      <c r="I187" s="10" t="str">
        <f t="shared" si="63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87" s="32" t="s">
        <v>516</v>
      </c>
      <c r="K187" s="30" t="s">
        <v>517</v>
      </c>
    </row>
    <row r="188" spans="1:11" ht="21" customHeight="1" x14ac:dyDescent="0.25">
      <c r="A188" s="32">
        <f t="shared" ref="A188:D191" si="81">A187</f>
        <v>50</v>
      </c>
      <c r="B188" s="30" t="str">
        <f t="shared" si="81"/>
        <v>芜湖长信新型显示器件有限公司</v>
      </c>
      <c r="C188" s="32" t="str">
        <f t="shared" si="81"/>
        <v>国有企业</v>
      </c>
      <c r="D188" s="32" t="str">
        <f t="shared" si="81"/>
        <v>制造业</v>
      </c>
      <c r="E188" s="10" t="s">
        <v>518</v>
      </c>
      <c r="F188" s="10">
        <v>50</v>
      </c>
      <c r="G188" s="32" t="str">
        <f t="shared" ref="G188:J191" si="82">G187</f>
        <v>智能制造类
机械机电类
自动化技术计算机技术数控技术
材料类等理工科专业</v>
      </c>
      <c r="H188" s="32" t="str">
        <f t="shared" si="82"/>
        <v>大专及以上</v>
      </c>
      <c r="I188" s="10" t="str">
        <f t="shared" si="82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88" s="32" t="str">
        <f t="shared" si="82"/>
        <v>贵阳市南明区</v>
      </c>
      <c r="K188" s="30" t="str">
        <f t="shared" ref="K188:K215" si="83">K187</f>
        <v>免费提供:住宿4人间、餐补480元/月、水电网络等免费，缴纳五险一金。</v>
      </c>
    </row>
    <row r="189" spans="1:11" ht="21" customHeight="1" x14ac:dyDescent="0.25">
      <c r="A189" s="32">
        <f t="shared" si="81"/>
        <v>50</v>
      </c>
      <c r="B189" s="30" t="str">
        <f t="shared" si="81"/>
        <v>芜湖长信新型显示器件有限公司</v>
      </c>
      <c r="C189" s="32" t="str">
        <f t="shared" si="81"/>
        <v>国有企业</v>
      </c>
      <c r="D189" s="32" t="str">
        <f t="shared" si="81"/>
        <v>制造业</v>
      </c>
      <c r="E189" s="10" t="s">
        <v>474</v>
      </c>
      <c r="F189" s="10">
        <v>50</v>
      </c>
      <c r="G189" s="32" t="str">
        <f t="shared" si="82"/>
        <v>智能制造类
机械机电类
自动化技术计算机技术数控技术
材料类等理工科专业</v>
      </c>
      <c r="H189" s="32" t="str">
        <f t="shared" si="82"/>
        <v>大专及以上</v>
      </c>
      <c r="I189" s="10" t="str">
        <f t="shared" si="82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89" s="32" t="str">
        <f t="shared" si="82"/>
        <v>贵阳市南明区</v>
      </c>
      <c r="K189" s="30" t="str">
        <f t="shared" si="83"/>
        <v>免费提供:住宿4人间、餐补480元/月、水电网络等免费，缴纳五险一金。</v>
      </c>
    </row>
    <row r="190" spans="1:11" ht="21" customHeight="1" x14ac:dyDescent="0.25">
      <c r="A190" s="32">
        <f t="shared" si="81"/>
        <v>50</v>
      </c>
      <c r="B190" s="30" t="str">
        <f t="shared" si="81"/>
        <v>芜湖长信新型显示器件有限公司</v>
      </c>
      <c r="C190" s="32" t="str">
        <f t="shared" si="81"/>
        <v>国有企业</v>
      </c>
      <c r="D190" s="32" t="str">
        <f t="shared" si="81"/>
        <v>制造业</v>
      </c>
      <c r="E190" s="10" t="s">
        <v>501</v>
      </c>
      <c r="F190" s="10">
        <v>50</v>
      </c>
      <c r="G190" s="32" t="str">
        <f t="shared" si="82"/>
        <v>智能制造类
机械机电类
自动化技术计算机技术数控技术
材料类等理工科专业</v>
      </c>
      <c r="H190" s="32" t="str">
        <f t="shared" si="82"/>
        <v>大专及以上</v>
      </c>
      <c r="I190" s="10" t="str">
        <f t="shared" si="82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90" s="32" t="str">
        <f t="shared" si="82"/>
        <v>贵阳市南明区</v>
      </c>
      <c r="K190" s="30" t="str">
        <f t="shared" si="83"/>
        <v>免费提供:住宿4人间、餐补480元/月、水电网络等免费，缴纳五险一金。</v>
      </c>
    </row>
    <row r="191" spans="1:11" ht="21" customHeight="1" x14ac:dyDescent="0.25">
      <c r="A191" s="9">
        <f t="shared" si="81"/>
        <v>50</v>
      </c>
      <c r="B191" s="7" t="str">
        <f t="shared" si="81"/>
        <v>芜湖长信新型显示器件有限公司</v>
      </c>
      <c r="C191" s="9" t="str">
        <f t="shared" si="81"/>
        <v>国有企业</v>
      </c>
      <c r="D191" s="9" t="str">
        <f t="shared" si="81"/>
        <v>制造业</v>
      </c>
      <c r="E191" s="10" t="s">
        <v>515</v>
      </c>
      <c r="F191" s="10">
        <v>50</v>
      </c>
      <c r="G191" s="9" t="str">
        <f t="shared" si="82"/>
        <v>智能制造类
机械机电类
自动化技术计算机技术数控技术
材料类等理工科专业</v>
      </c>
      <c r="H191" s="9" t="str">
        <f t="shared" si="82"/>
        <v>大专及以上</v>
      </c>
      <c r="I191" s="10" t="str">
        <f t="shared" si="82"/>
        <v xml:space="preserve">
2、熟悉机械加工相关工艺、刀具或发动机加工工艺；
3、熟悉生产制造工艺管理等相关知识；
4、熟练掌握office办公软件使用（excel、word、powerpoint等）；
5、熟练掌握CAD、PROE或UG等专业二维、三维软件，进行工艺设计及评估；
6、	熟练运用西门子840D 数控系统，具备自主编程及上手调试能力；
7、	具备Vericut数控仿真能力，powermill/UG 软件编程能力者优先；
8、	个人沟通及协调能力良好；</v>
      </c>
      <c r="J191" s="9" t="str">
        <f t="shared" si="82"/>
        <v>贵阳市南明区</v>
      </c>
      <c r="K191" s="7" t="str">
        <f t="shared" si="83"/>
        <v>免费提供:住宿4人间、餐补480元/月、水电网络等免费，缴纳五险一金。</v>
      </c>
    </row>
    <row r="192" spans="1:11" ht="52.95" customHeight="1" x14ac:dyDescent="0.25">
      <c r="A192" s="5">
        <v>51</v>
      </c>
      <c r="B192" s="5" t="s">
        <v>519</v>
      </c>
      <c r="C192" s="5" t="s">
        <v>11</v>
      </c>
      <c r="D192" s="5" t="s">
        <v>80</v>
      </c>
      <c r="E192" s="5" t="s">
        <v>520</v>
      </c>
      <c r="F192" s="5">
        <v>10</v>
      </c>
      <c r="G192" s="5" t="s">
        <v>14</v>
      </c>
      <c r="H192" s="10" t="s">
        <v>204</v>
      </c>
      <c r="I192" s="5" t="s">
        <v>521</v>
      </c>
      <c r="J192" s="5" t="s">
        <v>522</v>
      </c>
      <c r="K192" s="5" t="str">
        <f t="shared" si="83"/>
        <v>免费提供:住宿4人间、餐补480元/月、水电网络等免费，缴纳五险一金。</v>
      </c>
    </row>
    <row r="193" spans="1:11" ht="34.049999999999997" customHeight="1" x14ac:dyDescent="0.25">
      <c r="A193" s="6">
        <v>52</v>
      </c>
      <c r="B193" s="6" t="s">
        <v>523</v>
      </c>
      <c r="C193" s="6" t="s">
        <v>11</v>
      </c>
      <c r="D193" s="6" t="s">
        <v>12</v>
      </c>
      <c r="E193" s="5" t="s">
        <v>524</v>
      </c>
      <c r="F193" s="5">
        <v>100</v>
      </c>
      <c r="G193" s="5" t="s">
        <v>14</v>
      </c>
      <c r="H193" s="5" t="s">
        <v>204</v>
      </c>
      <c r="I193" s="5" t="s">
        <v>525</v>
      </c>
      <c r="J193" s="5" t="s">
        <v>526</v>
      </c>
      <c r="K193" s="5" t="str">
        <f t="shared" si="83"/>
        <v>免费提供:住宿4人间、餐补480元/月、水电网络等免费，缴纳五险一金。</v>
      </c>
    </row>
    <row r="194" spans="1:11" ht="37.049999999999997" customHeight="1" x14ac:dyDescent="0.25">
      <c r="A194" s="30">
        <f t="shared" ref="A194:D196" si="84">A193</f>
        <v>52</v>
      </c>
      <c r="B194" s="30" t="str">
        <f t="shared" si="84"/>
        <v>瓴泓智能科技（贵州）有限公司</v>
      </c>
      <c r="C194" s="30" t="str">
        <f t="shared" si="84"/>
        <v>民营企业</v>
      </c>
      <c r="D194" s="30" t="str">
        <f t="shared" si="84"/>
        <v>大数据</v>
      </c>
      <c r="E194" s="5" t="s">
        <v>527</v>
      </c>
      <c r="F194" s="5">
        <v>20</v>
      </c>
      <c r="G194" s="5" t="s">
        <v>14</v>
      </c>
      <c r="H194" s="5" t="s">
        <v>204</v>
      </c>
      <c r="I194" s="5" t="s">
        <v>528</v>
      </c>
      <c r="J194" s="5" t="s">
        <v>526</v>
      </c>
      <c r="K194" s="5" t="str">
        <f t="shared" si="83"/>
        <v>免费提供:住宿4人间、餐补480元/月、水电网络等免费，缴纳五险一金。</v>
      </c>
    </row>
    <row r="195" spans="1:11" ht="36" customHeight="1" x14ac:dyDescent="0.25">
      <c r="A195" s="30">
        <f t="shared" si="84"/>
        <v>52</v>
      </c>
      <c r="B195" s="30" t="str">
        <f t="shared" si="84"/>
        <v>瓴泓智能科技（贵州）有限公司</v>
      </c>
      <c r="C195" s="30" t="str">
        <f t="shared" si="84"/>
        <v>民营企业</v>
      </c>
      <c r="D195" s="30" t="str">
        <f t="shared" si="84"/>
        <v>大数据</v>
      </c>
      <c r="E195" s="5" t="s">
        <v>529</v>
      </c>
      <c r="F195" s="5">
        <v>50</v>
      </c>
      <c r="G195" s="5" t="s">
        <v>14</v>
      </c>
      <c r="H195" s="5" t="s">
        <v>204</v>
      </c>
      <c r="I195" s="5" t="s">
        <v>530</v>
      </c>
      <c r="J195" s="5" t="s">
        <v>526</v>
      </c>
      <c r="K195" s="5" t="str">
        <f t="shared" si="83"/>
        <v>免费提供:住宿4人间、餐补480元/月、水电网络等免费，缴纳五险一金。</v>
      </c>
    </row>
    <row r="196" spans="1:11" ht="30" customHeight="1" x14ac:dyDescent="0.25">
      <c r="A196" s="7">
        <f t="shared" si="84"/>
        <v>52</v>
      </c>
      <c r="B196" s="7" t="str">
        <f t="shared" si="84"/>
        <v>瓴泓智能科技（贵州）有限公司</v>
      </c>
      <c r="C196" s="7" t="str">
        <f t="shared" si="84"/>
        <v>民营企业</v>
      </c>
      <c r="D196" s="7" t="str">
        <f t="shared" si="84"/>
        <v>大数据</v>
      </c>
      <c r="E196" s="5" t="s">
        <v>531</v>
      </c>
      <c r="F196" s="5">
        <v>50</v>
      </c>
      <c r="G196" s="5" t="s">
        <v>14</v>
      </c>
      <c r="H196" s="5" t="s">
        <v>204</v>
      </c>
      <c r="I196" s="5" t="s">
        <v>532</v>
      </c>
      <c r="J196" s="5" t="s">
        <v>526</v>
      </c>
      <c r="K196" s="5" t="str">
        <f t="shared" si="83"/>
        <v>免费提供:住宿4人间、餐补480元/月、水电网络等免费，缴纳五险一金。</v>
      </c>
    </row>
    <row r="197" spans="1:11" ht="39" customHeight="1" x14ac:dyDescent="0.25">
      <c r="A197" s="5">
        <v>53</v>
      </c>
      <c r="B197" s="7" t="s">
        <v>533</v>
      </c>
      <c r="C197" s="7" t="s">
        <v>11</v>
      </c>
      <c r="D197" s="7" t="s">
        <v>57</v>
      </c>
      <c r="E197" s="5" t="s">
        <v>534</v>
      </c>
      <c r="F197" s="5">
        <v>10</v>
      </c>
      <c r="G197" s="5" t="s">
        <v>535</v>
      </c>
      <c r="H197" s="10" t="s">
        <v>204</v>
      </c>
      <c r="I197" s="5" t="s">
        <v>536</v>
      </c>
      <c r="J197" s="5" t="s">
        <v>537</v>
      </c>
      <c r="K197" s="5" t="str">
        <f t="shared" si="83"/>
        <v>免费提供:住宿4人间、餐补480元/月、水电网络等免费，缴纳五险一金。</v>
      </c>
    </row>
    <row r="198" spans="1:11" ht="36" customHeight="1" x14ac:dyDescent="0.25">
      <c r="A198" s="5">
        <v>54</v>
      </c>
      <c r="B198" s="7" t="s">
        <v>538</v>
      </c>
      <c r="C198" s="7" t="s">
        <v>11</v>
      </c>
      <c r="D198" s="7" t="s">
        <v>12</v>
      </c>
      <c r="E198" s="5" t="s">
        <v>539</v>
      </c>
      <c r="F198" s="5">
        <v>20</v>
      </c>
      <c r="G198" s="5" t="s">
        <v>14</v>
      </c>
      <c r="H198" s="10" t="s">
        <v>204</v>
      </c>
      <c r="I198" s="5" t="s">
        <v>540</v>
      </c>
      <c r="J198" s="5" t="s">
        <v>522</v>
      </c>
      <c r="K198" s="5" t="str">
        <f t="shared" si="83"/>
        <v>免费提供:住宿4人间、餐补480元/月、水电网络等免费，缴纳五险一金。</v>
      </c>
    </row>
    <row r="199" spans="1:11" ht="39" customHeight="1" x14ac:dyDescent="0.25">
      <c r="A199" s="5">
        <v>55</v>
      </c>
      <c r="B199" s="7" t="s">
        <v>541</v>
      </c>
      <c r="C199" s="7" t="s">
        <v>11</v>
      </c>
      <c r="D199" s="7" t="s">
        <v>12</v>
      </c>
      <c r="E199" s="5" t="s">
        <v>539</v>
      </c>
      <c r="F199" s="5">
        <v>30</v>
      </c>
      <c r="G199" s="5" t="s">
        <v>14</v>
      </c>
      <c r="H199" s="10" t="s">
        <v>204</v>
      </c>
      <c r="I199" s="5" t="s">
        <v>542</v>
      </c>
      <c r="J199" s="5" t="s">
        <v>543</v>
      </c>
      <c r="K199" s="5" t="str">
        <f t="shared" si="83"/>
        <v>免费提供:住宿4人间、餐补480元/月、水电网络等免费，缴纳五险一金。</v>
      </c>
    </row>
    <row r="200" spans="1:11" ht="42" customHeight="1" x14ac:dyDescent="0.25">
      <c r="A200" s="5">
        <v>56</v>
      </c>
      <c r="B200" s="7" t="s">
        <v>544</v>
      </c>
      <c r="C200" s="7" t="s">
        <v>11</v>
      </c>
      <c r="D200" s="7" t="s">
        <v>12</v>
      </c>
      <c r="E200" s="5" t="s">
        <v>545</v>
      </c>
      <c r="F200" s="5">
        <v>200</v>
      </c>
      <c r="G200" s="5" t="s">
        <v>546</v>
      </c>
      <c r="H200" s="10" t="s">
        <v>204</v>
      </c>
      <c r="I200" s="5" t="s">
        <v>547</v>
      </c>
      <c r="J200" s="5" t="s">
        <v>548</v>
      </c>
      <c r="K200" s="5" t="str">
        <f t="shared" si="83"/>
        <v>免费提供:住宿4人间、餐补480元/月、水电网络等免费，缴纳五险一金。</v>
      </c>
    </row>
    <row r="201" spans="1:11" ht="45" customHeight="1" x14ac:dyDescent="0.25">
      <c r="A201" s="5">
        <v>57</v>
      </c>
      <c r="B201" s="5" t="s">
        <v>549</v>
      </c>
      <c r="C201" s="5" t="s">
        <v>306</v>
      </c>
      <c r="D201" s="5" t="s">
        <v>20</v>
      </c>
      <c r="E201" s="5" t="s">
        <v>550</v>
      </c>
      <c r="F201" s="5">
        <v>15</v>
      </c>
      <c r="G201" s="6" t="s">
        <v>551</v>
      </c>
      <c r="H201" s="6" t="s">
        <v>204</v>
      </c>
      <c r="I201" s="5" t="s">
        <v>552</v>
      </c>
      <c r="J201" s="5" t="s">
        <v>553</v>
      </c>
      <c r="K201" s="9" t="str">
        <f t="shared" si="83"/>
        <v>免费提供:住宿4人间、餐补480元/月、水电网络等免费，缴纳五险一金。</v>
      </c>
    </row>
    <row r="202" spans="1:11" ht="36" customHeight="1" x14ac:dyDescent="0.25">
      <c r="A202" s="6">
        <v>58</v>
      </c>
      <c r="B202" s="6" t="s">
        <v>554</v>
      </c>
      <c r="C202" s="5" t="s">
        <v>11</v>
      </c>
      <c r="D202" s="5" t="s">
        <v>101</v>
      </c>
      <c r="E202" s="5" t="s">
        <v>555</v>
      </c>
      <c r="F202" s="5">
        <v>2</v>
      </c>
      <c r="G202" s="5" t="s">
        <v>556</v>
      </c>
      <c r="H202" s="5" t="s">
        <v>15</v>
      </c>
      <c r="I202" s="5" t="s">
        <v>552</v>
      </c>
      <c r="J202" s="5" t="s">
        <v>557</v>
      </c>
      <c r="K202" s="9" t="str">
        <f t="shared" si="83"/>
        <v>免费提供:住宿4人间、餐补480元/月、水电网络等免费，缴纳五险一金。</v>
      </c>
    </row>
    <row r="203" spans="1:11" ht="37.049999999999997" customHeight="1" x14ac:dyDescent="0.25">
      <c r="A203" s="30">
        <f t="shared" ref="A203:B204" si="85">A202</f>
        <v>58</v>
      </c>
      <c r="B203" s="30" t="str">
        <f t="shared" si="85"/>
        <v>息烽神墨教育培训学校有限公司</v>
      </c>
      <c r="C203" s="5" t="s">
        <v>11</v>
      </c>
      <c r="D203" s="5" t="s">
        <v>101</v>
      </c>
      <c r="E203" s="5" t="s">
        <v>558</v>
      </c>
      <c r="F203" s="5">
        <v>2</v>
      </c>
      <c r="G203" s="5" t="s">
        <v>559</v>
      </c>
      <c r="H203" s="5" t="s">
        <v>15</v>
      </c>
      <c r="I203" s="5" t="s">
        <v>552</v>
      </c>
      <c r="J203" s="5" t="s">
        <v>557</v>
      </c>
      <c r="K203" s="9" t="str">
        <f t="shared" si="83"/>
        <v>免费提供:住宿4人间、餐补480元/月、水电网络等免费，缴纳五险一金。</v>
      </c>
    </row>
    <row r="204" spans="1:11" ht="37.950000000000003" customHeight="1" x14ac:dyDescent="0.25">
      <c r="A204" s="7">
        <f t="shared" si="85"/>
        <v>58</v>
      </c>
      <c r="B204" s="7" t="str">
        <f t="shared" si="85"/>
        <v>息烽神墨教育培训学校有限公司</v>
      </c>
      <c r="C204" s="5" t="s">
        <v>11</v>
      </c>
      <c r="D204" s="5" t="s">
        <v>101</v>
      </c>
      <c r="E204" s="5" t="s">
        <v>560</v>
      </c>
      <c r="F204" s="5">
        <v>2</v>
      </c>
      <c r="G204" s="5" t="s">
        <v>561</v>
      </c>
      <c r="H204" s="5" t="s">
        <v>15</v>
      </c>
      <c r="I204" s="5" t="s">
        <v>552</v>
      </c>
      <c r="J204" s="5" t="s">
        <v>557</v>
      </c>
      <c r="K204" s="9" t="str">
        <f t="shared" si="83"/>
        <v>免费提供:住宿4人间、餐补480元/月、水电网络等免费，缴纳五险一金。</v>
      </c>
    </row>
    <row r="205" spans="1:11" ht="31.05" customHeight="1" x14ac:dyDescent="0.25">
      <c r="A205" s="6">
        <v>59</v>
      </c>
      <c r="B205" s="6" t="s">
        <v>562</v>
      </c>
      <c r="C205" s="5" t="s">
        <v>11</v>
      </c>
      <c r="D205" s="5" t="s">
        <v>80</v>
      </c>
      <c r="E205" s="5" t="s">
        <v>563</v>
      </c>
      <c r="F205" s="5">
        <v>30</v>
      </c>
      <c r="G205" s="5" t="s">
        <v>564</v>
      </c>
      <c r="H205" s="5" t="s">
        <v>15</v>
      </c>
      <c r="I205" s="5" t="s">
        <v>552</v>
      </c>
      <c r="J205" s="5" t="s">
        <v>565</v>
      </c>
      <c r="K205" s="9" t="str">
        <f t="shared" si="83"/>
        <v>免费提供:住宿4人间、餐补480元/月、水电网络等免费，缴纳五险一金。</v>
      </c>
    </row>
    <row r="206" spans="1:11" ht="34.049999999999997" customHeight="1" x14ac:dyDescent="0.25">
      <c r="A206" s="7">
        <f t="shared" ref="A206:B206" si="86">A205</f>
        <v>59</v>
      </c>
      <c r="B206" s="7" t="str">
        <f t="shared" si="86"/>
        <v>中国平安人寿保险股份有限公司息烽支公司</v>
      </c>
      <c r="C206" s="5" t="s">
        <v>11</v>
      </c>
      <c r="D206" s="5" t="s">
        <v>80</v>
      </c>
      <c r="E206" s="5" t="s">
        <v>566</v>
      </c>
      <c r="F206" s="5">
        <v>30</v>
      </c>
      <c r="G206" s="5" t="s">
        <v>567</v>
      </c>
      <c r="H206" s="5" t="s">
        <v>15</v>
      </c>
      <c r="I206" s="5" t="s">
        <v>552</v>
      </c>
      <c r="J206" s="5" t="s">
        <v>568</v>
      </c>
      <c r="K206" s="9" t="str">
        <f t="shared" si="83"/>
        <v>免费提供:住宿4人间、餐补480元/月、水电网络等免费，缴纳五险一金。</v>
      </c>
    </row>
    <row r="207" spans="1:11" ht="49.05" customHeight="1" x14ac:dyDescent="0.25">
      <c r="A207" s="6">
        <v>60</v>
      </c>
      <c r="B207" s="21" t="s">
        <v>569</v>
      </c>
      <c r="C207" s="5" t="s">
        <v>11</v>
      </c>
      <c r="D207" s="5" t="s">
        <v>80</v>
      </c>
      <c r="E207" s="5" t="s">
        <v>570</v>
      </c>
      <c r="F207" s="5">
        <v>15</v>
      </c>
      <c r="G207" s="5" t="s">
        <v>571</v>
      </c>
      <c r="H207" s="5" t="s">
        <v>15</v>
      </c>
      <c r="I207" s="5" t="s">
        <v>552</v>
      </c>
      <c r="J207" s="5" t="s">
        <v>572</v>
      </c>
      <c r="K207" s="9" t="str">
        <f t="shared" si="83"/>
        <v>免费提供:住宿4人间、餐补480元/月、水电网络等免费，缴纳五险一金。</v>
      </c>
    </row>
    <row r="208" spans="1:11" ht="45" customHeight="1" x14ac:dyDescent="0.25">
      <c r="A208" s="30">
        <f t="shared" ref="A208:B210" si="87">A207</f>
        <v>60</v>
      </c>
      <c r="B208" s="21" t="str">
        <f t="shared" si="87"/>
        <v>贵州绿邦众创新材料有限公司</v>
      </c>
      <c r="C208" s="5" t="s">
        <v>11</v>
      </c>
      <c r="D208" s="5" t="s">
        <v>80</v>
      </c>
      <c r="E208" s="5" t="s">
        <v>573</v>
      </c>
      <c r="F208" s="5">
        <v>5</v>
      </c>
      <c r="G208" s="5" t="s">
        <v>574</v>
      </c>
      <c r="H208" s="5" t="s">
        <v>15</v>
      </c>
      <c r="I208" s="5" t="s">
        <v>552</v>
      </c>
      <c r="J208" s="5" t="s">
        <v>572</v>
      </c>
      <c r="K208" s="9" t="str">
        <f t="shared" si="83"/>
        <v>免费提供:住宿4人间、餐补480元/月、水电网络等免费，缴纳五险一金。</v>
      </c>
    </row>
    <row r="209" spans="1:11" ht="36" customHeight="1" x14ac:dyDescent="0.25">
      <c r="A209" s="30">
        <f t="shared" si="87"/>
        <v>60</v>
      </c>
      <c r="B209" s="21" t="str">
        <f t="shared" si="87"/>
        <v>贵州绿邦众创新材料有限公司</v>
      </c>
      <c r="C209" s="5" t="s">
        <v>11</v>
      </c>
      <c r="D209" s="5" t="s">
        <v>80</v>
      </c>
      <c r="E209" s="5" t="s">
        <v>575</v>
      </c>
      <c r="F209" s="5">
        <v>5</v>
      </c>
      <c r="G209" s="5" t="s">
        <v>14</v>
      </c>
      <c r="H209" s="5" t="s">
        <v>15</v>
      </c>
      <c r="I209" s="5" t="s">
        <v>552</v>
      </c>
      <c r="J209" s="5" t="s">
        <v>572</v>
      </c>
      <c r="K209" s="9" t="str">
        <f t="shared" si="83"/>
        <v>免费提供:住宿4人间、餐补480元/月、水电网络等免费，缴纳五险一金。</v>
      </c>
    </row>
    <row r="210" spans="1:11" ht="25.95" customHeight="1" x14ac:dyDescent="0.25">
      <c r="A210" s="7">
        <f t="shared" si="87"/>
        <v>60</v>
      </c>
      <c r="B210" s="41" t="str">
        <f t="shared" si="87"/>
        <v>贵州绿邦众创新材料有限公司</v>
      </c>
      <c r="C210" s="5" t="s">
        <v>11</v>
      </c>
      <c r="D210" s="5" t="s">
        <v>80</v>
      </c>
      <c r="E210" s="5" t="s">
        <v>217</v>
      </c>
      <c r="F210" s="5">
        <v>20</v>
      </c>
      <c r="G210" s="5" t="s">
        <v>14</v>
      </c>
      <c r="H210" s="5" t="s">
        <v>15</v>
      </c>
      <c r="I210" s="5" t="s">
        <v>552</v>
      </c>
      <c r="J210" s="5" t="s">
        <v>572</v>
      </c>
      <c r="K210" s="9" t="str">
        <f t="shared" si="83"/>
        <v>免费提供:住宿4人间、餐补480元/月、水电网络等免费，缴纳五险一金。</v>
      </c>
    </row>
    <row r="211" spans="1:11" ht="21" customHeight="1" x14ac:dyDescent="0.25">
      <c r="A211" s="6">
        <v>61</v>
      </c>
      <c r="B211" s="6" t="s">
        <v>576</v>
      </c>
      <c r="C211" s="6" t="s">
        <v>11</v>
      </c>
      <c r="D211" s="6" t="s">
        <v>20</v>
      </c>
      <c r="E211" s="19" t="s">
        <v>577</v>
      </c>
      <c r="F211" s="22">
        <v>20</v>
      </c>
      <c r="G211" s="5" t="s">
        <v>14</v>
      </c>
      <c r="H211" s="5" t="s">
        <v>15</v>
      </c>
      <c r="I211" s="19" t="s">
        <v>578</v>
      </c>
      <c r="J211" s="6" t="s">
        <v>579</v>
      </c>
      <c r="K211" s="5" t="str">
        <f t="shared" si="83"/>
        <v>免费提供:住宿4人间、餐补480元/月、水电网络等免费，缴纳五险一金。</v>
      </c>
    </row>
    <row r="212" spans="1:11" ht="21" customHeight="1" x14ac:dyDescent="0.25">
      <c r="A212" s="30">
        <f t="shared" ref="A212:D214" si="88">A211</f>
        <v>61</v>
      </c>
      <c r="B212" s="30" t="str">
        <f t="shared" si="88"/>
        <v>贵州云栖智养家政有限公司</v>
      </c>
      <c r="C212" s="30" t="str">
        <f t="shared" si="88"/>
        <v>民营企业</v>
      </c>
      <c r="D212" s="30" t="str">
        <f t="shared" si="88"/>
        <v>现代服务业</v>
      </c>
      <c r="E212" s="19" t="s">
        <v>580</v>
      </c>
      <c r="F212" s="22">
        <v>20</v>
      </c>
      <c r="G212" s="5" t="s">
        <v>14</v>
      </c>
      <c r="H212" s="5" t="s">
        <v>204</v>
      </c>
      <c r="I212" s="19" t="s">
        <v>581</v>
      </c>
      <c r="J212" s="30" t="str">
        <f t="shared" ref="J212:J214" si="89">J211</f>
        <v>贵阳市</v>
      </c>
      <c r="K212" s="5" t="str">
        <f t="shared" si="83"/>
        <v>免费提供:住宿4人间、餐补480元/月、水电网络等免费，缴纳五险一金。</v>
      </c>
    </row>
    <row r="213" spans="1:11" ht="21" customHeight="1" x14ac:dyDescent="0.25">
      <c r="A213" s="30">
        <f t="shared" si="88"/>
        <v>61</v>
      </c>
      <c r="B213" s="30" t="str">
        <f t="shared" si="88"/>
        <v>贵州云栖智养家政有限公司</v>
      </c>
      <c r="C213" s="30" t="str">
        <f t="shared" si="88"/>
        <v>民营企业</v>
      </c>
      <c r="D213" s="30" t="str">
        <f t="shared" si="88"/>
        <v>现代服务业</v>
      </c>
      <c r="E213" s="19" t="s">
        <v>582</v>
      </c>
      <c r="F213" s="22">
        <v>1</v>
      </c>
      <c r="G213" s="5" t="s">
        <v>14</v>
      </c>
      <c r="H213" s="5" t="s">
        <v>204</v>
      </c>
      <c r="I213" s="19" t="s">
        <v>583</v>
      </c>
      <c r="J213" s="30" t="str">
        <f t="shared" si="89"/>
        <v>贵阳市</v>
      </c>
      <c r="K213" s="5" t="str">
        <f t="shared" si="83"/>
        <v>免费提供:住宿4人间、餐补480元/月、水电网络等免费，缴纳五险一金。</v>
      </c>
    </row>
    <row r="214" spans="1:11" ht="21" customHeight="1" x14ac:dyDescent="0.25">
      <c r="A214" s="7">
        <f t="shared" si="88"/>
        <v>61</v>
      </c>
      <c r="B214" s="7" t="str">
        <f t="shared" si="88"/>
        <v>贵州云栖智养家政有限公司</v>
      </c>
      <c r="C214" s="7" t="str">
        <f t="shared" si="88"/>
        <v>民营企业</v>
      </c>
      <c r="D214" s="7" t="str">
        <f t="shared" si="88"/>
        <v>现代服务业</v>
      </c>
      <c r="E214" s="19" t="s">
        <v>584</v>
      </c>
      <c r="F214" s="22">
        <v>1</v>
      </c>
      <c r="G214" s="5" t="s">
        <v>14</v>
      </c>
      <c r="H214" s="5" t="s">
        <v>204</v>
      </c>
      <c r="I214" s="19" t="s">
        <v>585</v>
      </c>
      <c r="J214" s="7" t="str">
        <f t="shared" si="89"/>
        <v>贵阳市</v>
      </c>
      <c r="K214" s="5" t="str">
        <f t="shared" si="83"/>
        <v>免费提供:住宿4人间、餐补480元/月、水电网络等免费，缴纳五险一金。</v>
      </c>
    </row>
    <row r="215" spans="1:11" ht="21" customHeight="1" x14ac:dyDescent="0.25">
      <c r="A215" s="6">
        <v>62</v>
      </c>
      <c r="B215" s="6" t="s">
        <v>586</v>
      </c>
      <c r="C215" s="6" t="s">
        <v>11</v>
      </c>
      <c r="D215" s="6" t="s">
        <v>20</v>
      </c>
      <c r="E215" s="19" t="s">
        <v>587</v>
      </c>
      <c r="F215" s="22">
        <v>5</v>
      </c>
      <c r="G215" s="5" t="s">
        <v>14</v>
      </c>
      <c r="H215" s="5" t="s">
        <v>204</v>
      </c>
      <c r="I215" s="19" t="s">
        <v>588</v>
      </c>
      <c r="J215" s="6" t="s">
        <v>579</v>
      </c>
      <c r="K215" s="5" t="str">
        <f t="shared" si="83"/>
        <v>免费提供:住宿4人间、餐补480元/月、水电网络等免费，缴纳五险一金。</v>
      </c>
    </row>
    <row r="216" spans="1:11" ht="21" customHeight="1" x14ac:dyDescent="0.25">
      <c r="A216" s="30">
        <f t="shared" ref="A216:D218" si="90">A215</f>
        <v>62</v>
      </c>
      <c r="B216" s="30" t="str">
        <f t="shared" si="90"/>
        <v>观山湖区汐妍美容体验中心</v>
      </c>
      <c r="C216" s="30" t="str">
        <f t="shared" si="90"/>
        <v>民营企业</v>
      </c>
      <c r="D216" s="30" t="str">
        <f t="shared" si="90"/>
        <v>现代服务业</v>
      </c>
      <c r="E216" s="19" t="s">
        <v>478</v>
      </c>
      <c r="F216" s="22">
        <v>20</v>
      </c>
      <c r="G216" s="5" t="s">
        <v>14</v>
      </c>
      <c r="H216" s="5" t="s">
        <v>204</v>
      </c>
      <c r="I216" s="19" t="s">
        <v>589</v>
      </c>
      <c r="J216" s="30" t="str">
        <f t="shared" ref="J216:K218" si="91">J215</f>
        <v>贵阳市</v>
      </c>
      <c r="K216" s="5" t="str">
        <f t="shared" si="91"/>
        <v>免费提供:住宿4人间、餐补480元/月、水电网络等免费，缴纳五险一金。</v>
      </c>
    </row>
    <row r="217" spans="1:11" ht="21" customHeight="1" x14ac:dyDescent="0.25">
      <c r="A217" s="30">
        <f t="shared" si="90"/>
        <v>62</v>
      </c>
      <c r="B217" s="30" t="str">
        <f t="shared" si="90"/>
        <v>观山湖区汐妍美容体验中心</v>
      </c>
      <c r="C217" s="30" t="str">
        <f t="shared" si="90"/>
        <v>民营企业</v>
      </c>
      <c r="D217" s="30" t="str">
        <f t="shared" si="90"/>
        <v>现代服务业</v>
      </c>
      <c r="E217" s="19" t="s">
        <v>590</v>
      </c>
      <c r="F217" s="22">
        <v>20</v>
      </c>
      <c r="G217" s="5" t="s">
        <v>14</v>
      </c>
      <c r="H217" s="5" t="s">
        <v>204</v>
      </c>
      <c r="I217" s="19" t="s">
        <v>591</v>
      </c>
      <c r="J217" s="30" t="str">
        <f t="shared" si="91"/>
        <v>贵阳市</v>
      </c>
      <c r="K217" s="5" t="str">
        <f t="shared" si="91"/>
        <v>免费提供:住宿4人间、餐补480元/月、水电网络等免费，缴纳五险一金。</v>
      </c>
    </row>
    <row r="218" spans="1:11" ht="21" customHeight="1" x14ac:dyDescent="0.25">
      <c r="A218" s="30">
        <f t="shared" si="90"/>
        <v>62</v>
      </c>
      <c r="B218" s="30" t="str">
        <f t="shared" si="90"/>
        <v>观山湖区汐妍美容体验中心</v>
      </c>
      <c r="C218" s="30" t="str">
        <f t="shared" si="90"/>
        <v>民营企业</v>
      </c>
      <c r="D218" s="30" t="str">
        <f t="shared" si="90"/>
        <v>现代服务业</v>
      </c>
      <c r="E218" s="18" t="s">
        <v>592</v>
      </c>
      <c r="F218" s="23">
        <v>2</v>
      </c>
      <c r="G218" s="6" t="s">
        <v>14</v>
      </c>
      <c r="H218" s="5" t="s">
        <v>204</v>
      </c>
      <c r="I218" s="18" t="s">
        <v>593</v>
      </c>
      <c r="J218" s="30" t="str">
        <f t="shared" si="91"/>
        <v>贵阳市</v>
      </c>
      <c r="K218" s="6" t="str">
        <f t="shared" si="91"/>
        <v>免费提供:住宿4人间、餐补480元/月、水电网络等免费，缴纳五险一金。</v>
      </c>
    </row>
    <row r="219" spans="1:11" ht="34.049999999999997" customHeight="1" x14ac:dyDescent="0.25">
      <c r="A219" s="10">
        <v>63</v>
      </c>
      <c r="B219" s="6" t="s">
        <v>594</v>
      </c>
      <c r="C219" s="6" t="s">
        <v>11</v>
      </c>
      <c r="D219" s="6" t="s">
        <v>12</v>
      </c>
      <c r="E219" s="5" t="s">
        <v>595</v>
      </c>
      <c r="F219" s="5">
        <v>50</v>
      </c>
      <c r="G219" s="5" t="s">
        <v>14</v>
      </c>
      <c r="H219" s="5" t="s">
        <v>204</v>
      </c>
      <c r="I219" s="5" t="s">
        <v>596</v>
      </c>
      <c r="J219" s="6" t="s">
        <v>508</v>
      </c>
      <c r="K219" s="5" t="s">
        <v>597</v>
      </c>
    </row>
    <row r="220" spans="1:11" ht="21" customHeight="1" x14ac:dyDescent="0.25">
      <c r="A220" s="31">
        <v>64</v>
      </c>
      <c r="B220" s="6" t="s">
        <v>598</v>
      </c>
      <c r="C220" s="6" t="s">
        <v>11</v>
      </c>
      <c r="D220" s="6" t="s">
        <v>80</v>
      </c>
      <c r="E220" s="5" t="s">
        <v>599</v>
      </c>
      <c r="F220" s="5">
        <v>20</v>
      </c>
      <c r="G220" s="5" t="s">
        <v>14</v>
      </c>
      <c r="H220" s="5" t="s">
        <v>92</v>
      </c>
      <c r="I220" s="5" t="s">
        <v>600</v>
      </c>
      <c r="J220" s="6" t="s">
        <v>601</v>
      </c>
      <c r="K220" s="6" t="str">
        <f t="shared" ref="K220:K227" si="92">K219</f>
        <v>五险
实习生包吃住</v>
      </c>
    </row>
    <row r="221" spans="1:11" ht="21" customHeight="1" x14ac:dyDescent="0.25">
      <c r="A221" s="9">
        <f t="shared" ref="A221:D221" si="93">A220</f>
        <v>64</v>
      </c>
      <c r="B221" s="7" t="str">
        <f t="shared" si="93"/>
        <v>贵州禾唛餐饮有限公司</v>
      </c>
      <c r="C221" s="7" t="str">
        <f t="shared" si="93"/>
        <v>民营企业</v>
      </c>
      <c r="D221" s="7" t="str">
        <f t="shared" si="93"/>
        <v>其他行业</v>
      </c>
      <c r="E221" s="5" t="s">
        <v>602</v>
      </c>
      <c r="F221" s="5">
        <v>20</v>
      </c>
      <c r="G221" s="5" t="s">
        <v>14</v>
      </c>
      <c r="H221" s="5" t="s">
        <v>15</v>
      </c>
      <c r="I221" s="5" t="s">
        <v>603</v>
      </c>
      <c r="J221" s="7" t="str">
        <f>J220</f>
        <v>贵州省范围内麦当劳餐厅按需就近安排</v>
      </c>
      <c r="K221" s="7" t="str">
        <f t="shared" si="92"/>
        <v>五险
实习生包吃住</v>
      </c>
    </row>
    <row r="222" spans="1:11" ht="21" customHeight="1" x14ac:dyDescent="0.25">
      <c r="A222" s="31">
        <v>65</v>
      </c>
      <c r="B222" s="6" t="s">
        <v>604</v>
      </c>
      <c r="C222" s="5" t="s">
        <v>11</v>
      </c>
      <c r="D222" s="5" t="s">
        <v>605</v>
      </c>
      <c r="E222" s="5" t="s">
        <v>606</v>
      </c>
      <c r="F222" s="5">
        <v>3</v>
      </c>
      <c r="G222" s="5" t="s">
        <v>607</v>
      </c>
      <c r="H222" s="5" t="s">
        <v>204</v>
      </c>
      <c r="I222" s="5" t="s">
        <v>608</v>
      </c>
      <c r="J222" s="5" t="s">
        <v>609</v>
      </c>
      <c r="K222" s="10" t="str">
        <f t="shared" si="92"/>
        <v>五险
实习生包吃住</v>
      </c>
    </row>
    <row r="223" spans="1:11" ht="21" customHeight="1" x14ac:dyDescent="0.25">
      <c r="A223" s="32">
        <f t="shared" ref="A223:B224" si="94">A222</f>
        <v>65</v>
      </c>
      <c r="B223" s="30" t="str">
        <f t="shared" si="94"/>
        <v>贵州趣行旅游服务有限公司</v>
      </c>
      <c r="C223" s="5" t="s">
        <v>11</v>
      </c>
      <c r="D223" s="5" t="s">
        <v>605</v>
      </c>
      <c r="E223" s="5" t="s">
        <v>610</v>
      </c>
      <c r="F223" s="5">
        <v>1</v>
      </c>
      <c r="G223" s="5" t="s">
        <v>611</v>
      </c>
      <c r="H223" s="5" t="s">
        <v>204</v>
      </c>
      <c r="I223" s="5" t="s">
        <v>612</v>
      </c>
      <c r="J223" s="5" t="s">
        <v>609</v>
      </c>
      <c r="K223" s="10" t="str">
        <f t="shared" si="92"/>
        <v>五险
实习生包吃住</v>
      </c>
    </row>
    <row r="224" spans="1:11" ht="21" customHeight="1" x14ac:dyDescent="0.25">
      <c r="A224" s="9">
        <f t="shared" si="94"/>
        <v>65</v>
      </c>
      <c r="B224" s="7" t="str">
        <f t="shared" si="94"/>
        <v>贵州趣行旅游服务有限公司</v>
      </c>
      <c r="C224" s="5" t="s">
        <v>11</v>
      </c>
      <c r="D224" s="5" t="s">
        <v>605</v>
      </c>
      <c r="E224" s="5" t="s">
        <v>613</v>
      </c>
      <c r="F224" s="5">
        <v>2</v>
      </c>
      <c r="G224" s="5" t="s">
        <v>611</v>
      </c>
      <c r="H224" s="5" t="s">
        <v>204</v>
      </c>
      <c r="I224" s="5" t="s">
        <v>614</v>
      </c>
      <c r="J224" s="5" t="s">
        <v>609</v>
      </c>
      <c r="K224" s="10" t="str">
        <f t="shared" si="92"/>
        <v>五险
实习生包吃住</v>
      </c>
    </row>
    <row r="225" spans="1:11" ht="21" customHeight="1" x14ac:dyDescent="0.25">
      <c r="A225" s="10">
        <v>66</v>
      </c>
      <c r="B225" s="5" t="s">
        <v>615</v>
      </c>
      <c r="C225" s="10" t="s">
        <v>11</v>
      </c>
      <c r="D225" s="10" t="s">
        <v>20</v>
      </c>
      <c r="E225" s="10" t="s">
        <v>616</v>
      </c>
      <c r="F225" s="10">
        <v>20</v>
      </c>
      <c r="G225" s="5" t="s">
        <v>14</v>
      </c>
      <c r="H225" s="5" t="s">
        <v>204</v>
      </c>
      <c r="I225" s="10" t="str">
        <f>I224</f>
        <v>有较强沟通能力，服务意识强，有亲和力，抗压性，具有较强沟通能力及团队协作能力，有耐心和责任心。</v>
      </c>
      <c r="J225" s="6" t="s">
        <v>617</v>
      </c>
      <c r="K225" s="10" t="str">
        <f t="shared" si="92"/>
        <v>五险
实习生包吃住</v>
      </c>
    </row>
    <row r="226" spans="1:11" ht="21" customHeight="1" x14ac:dyDescent="0.25">
      <c r="A226" s="10">
        <f t="shared" ref="A226:D226" si="95">A225</f>
        <v>66</v>
      </c>
      <c r="B226" s="5" t="str">
        <f t="shared" si="95"/>
        <v>贵州喜百年装饰工程有限公司</v>
      </c>
      <c r="C226" s="10" t="str">
        <f t="shared" si="95"/>
        <v>民营企业</v>
      </c>
      <c r="D226" s="10" t="str">
        <f t="shared" si="95"/>
        <v>现代服务业</v>
      </c>
      <c r="E226" s="10" t="s">
        <v>618</v>
      </c>
      <c r="F226" s="10">
        <v>10</v>
      </c>
      <c r="G226" s="5" t="s">
        <v>14</v>
      </c>
      <c r="H226" s="5" t="s">
        <v>204</v>
      </c>
      <c r="I226" s="10" t="str">
        <f t="shared" ref="I226:J226" si="96">I225</f>
        <v>有较强沟通能力，服务意识强，有亲和力，抗压性，具有较强沟通能力及团队协作能力，有耐心和责任心。</v>
      </c>
      <c r="J226" s="7" t="str">
        <f t="shared" si="96"/>
        <v>南明区遵义路城市方舟B栋B3楼</v>
      </c>
      <c r="K226" s="10" t="str">
        <f t="shared" si="92"/>
        <v>五险
实习生包吃住</v>
      </c>
    </row>
    <row r="227" spans="1:11" ht="39" customHeight="1" x14ac:dyDescent="0.25">
      <c r="A227" s="10">
        <v>67</v>
      </c>
      <c r="B227" s="21" t="s">
        <v>619</v>
      </c>
      <c r="C227" s="5" t="s">
        <v>11</v>
      </c>
      <c r="D227" s="5" t="s">
        <v>80</v>
      </c>
      <c r="E227" s="5" t="s">
        <v>606</v>
      </c>
      <c r="F227" s="5">
        <v>20</v>
      </c>
      <c r="G227" s="5" t="s">
        <v>14</v>
      </c>
      <c r="H227" s="5" t="s">
        <v>204</v>
      </c>
      <c r="I227" s="5" t="s">
        <v>620</v>
      </c>
      <c r="J227" s="5" t="s">
        <v>621</v>
      </c>
      <c r="K227" s="10" t="str">
        <f t="shared" si="92"/>
        <v>五险
实习生包吃住</v>
      </c>
    </row>
    <row r="228" spans="1:11" ht="21" customHeight="1" x14ac:dyDescent="0.25">
      <c r="A228" s="31">
        <v>68</v>
      </c>
      <c r="B228" s="6" t="s">
        <v>622</v>
      </c>
      <c r="C228" s="6" t="s">
        <v>11</v>
      </c>
      <c r="D228" s="6" t="s">
        <v>20</v>
      </c>
      <c r="E228" s="10" t="s">
        <v>623</v>
      </c>
      <c r="F228" s="10">
        <v>5</v>
      </c>
      <c r="G228" s="10" t="s">
        <v>14</v>
      </c>
      <c r="H228" s="5" t="s">
        <v>204</v>
      </c>
      <c r="I228" s="10" t="str">
        <f t="shared" ref="I228:I231" si="97">I227</f>
        <v>弹幕游戏主播 
工作地点
贵阳市区
岗位要求
男女不限，性格活泼敢表现，爱聊天会互动
能全职稳定直播，零基础肯学就行
 薪资待遇
无责保底4000元/月，综6000-10000+上不封顶
免费培训+一对一运营带教，不收任何费用）</v>
      </c>
      <c r="J228" s="6" t="s">
        <v>624</v>
      </c>
      <c r="K228" s="6" t="s">
        <v>625</v>
      </c>
    </row>
    <row r="229" spans="1:11" ht="21" customHeight="1" x14ac:dyDescent="0.25">
      <c r="A229" s="32">
        <f t="shared" ref="A229:D230" si="98">A228</f>
        <v>68</v>
      </c>
      <c r="B229" s="30" t="str">
        <f t="shared" si="98"/>
        <v>贵州丹丽呗昵塔文化传播有限公司(阿芙精油)</v>
      </c>
      <c r="C229" s="30" t="str">
        <f t="shared" si="98"/>
        <v>民营企业</v>
      </c>
      <c r="D229" s="30" t="str">
        <f t="shared" si="98"/>
        <v>现代服务业</v>
      </c>
      <c r="E229" s="10" t="s">
        <v>626</v>
      </c>
      <c r="F229" s="10">
        <v>5</v>
      </c>
      <c r="G229" s="10" t="s">
        <v>14</v>
      </c>
      <c r="H229" s="5" t="s">
        <v>204</v>
      </c>
      <c r="I229" s="10" t="str">
        <f t="shared" si="97"/>
        <v>弹幕游戏主播 
工作地点
贵阳市区
岗位要求
男女不限，性格活泼敢表现，爱聊天会互动
能全职稳定直播，零基础肯学就行
 薪资待遇
无责保底4000元/月，综6000-10000+上不封顶
免费培训+一对一运营带教，不收任何费用）</v>
      </c>
      <c r="J229" s="30" t="str">
        <f t="shared" ref="J229:K230" si="99">J228</f>
        <v>贵州贵阳市云岩区北京西路印象城购物中心</v>
      </c>
      <c r="K229" s="30" t="str">
        <f t="shared" si="99"/>
        <v>保险，节日福利，生日福利，带薪培训</v>
      </c>
    </row>
    <row r="230" spans="1:11" ht="21" customHeight="1" x14ac:dyDescent="0.25">
      <c r="A230" s="9">
        <f t="shared" si="98"/>
        <v>68</v>
      </c>
      <c r="B230" s="7" t="str">
        <f t="shared" si="98"/>
        <v>贵州丹丽呗昵塔文化传播有限公司(阿芙精油)</v>
      </c>
      <c r="C230" s="7" t="str">
        <f t="shared" si="98"/>
        <v>民营企业</v>
      </c>
      <c r="D230" s="7" t="str">
        <f t="shared" si="98"/>
        <v>现代服务业</v>
      </c>
      <c r="E230" s="10" t="s">
        <v>627</v>
      </c>
      <c r="F230" s="10">
        <v>5</v>
      </c>
      <c r="G230" s="10" t="s">
        <v>14</v>
      </c>
      <c r="H230" s="5" t="s">
        <v>204</v>
      </c>
      <c r="I230" s="10" t="str">
        <f t="shared" si="97"/>
        <v>弹幕游戏主播 
工作地点
贵阳市区
岗位要求
男女不限，性格活泼敢表现，爱聊天会互动
能全职稳定直播，零基础肯学就行
 薪资待遇
无责保底4000元/月，综6000-10000+上不封顶
免费培训+一对一运营带教，不收任何费用）</v>
      </c>
      <c r="J230" s="7" t="str">
        <f t="shared" si="99"/>
        <v>贵州贵阳市云岩区北京西路印象城购物中心</v>
      </c>
      <c r="K230" s="7" t="str">
        <f t="shared" si="99"/>
        <v>保险，节日福利，生日福利，带薪培训</v>
      </c>
    </row>
    <row r="231" spans="1:11" ht="37.049999999999997" customHeight="1" x14ac:dyDescent="0.25">
      <c r="A231" s="10">
        <v>69</v>
      </c>
      <c r="B231" s="5" t="s">
        <v>628</v>
      </c>
      <c r="C231" s="10" t="s">
        <v>11</v>
      </c>
      <c r="D231" s="10" t="s">
        <v>20</v>
      </c>
      <c r="E231" s="10" t="s">
        <v>629</v>
      </c>
      <c r="F231" s="10">
        <v>4</v>
      </c>
      <c r="G231" s="5" t="s">
        <v>630</v>
      </c>
      <c r="H231" s="5" t="s">
        <v>204</v>
      </c>
      <c r="I231" s="10" t="str">
        <f t="shared" si="97"/>
        <v>弹幕游戏主播 
工作地点
贵阳市区
岗位要求
男女不限，性格活泼敢表现，爱聊天会互动
能全职稳定直播，零基础肯学就行
 薪资待遇
无责保底4000元/月，综6000-10000+上不封顶
免费培训+一对一运营带教，不收任何费用）</v>
      </c>
      <c r="J231" s="5" t="s">
        <v>631</v>
      </c>
      <c r="K231" s="5" t="s">
        <v>632</v>
      </c>
    </row>
    <row r="232" spans="1:11" ht="21" customHeight="1" x14ac:dyDescent="0.25">
      <c r="A232" s="5">
        <v>70</v>
      </c>
      <c r="B232" s="5" t="s">
        <v>633</v>
      </c>
      <c r="C232" s="5" t="s">
        <v>634</v>
      </c>
      <c r="D232" s="5" t="s">
        <v>635</v>
      </c>
      <c r="E232" s="5" t="s">
        <v>636</v>
      </c>
      <c r="F232" s="5">
        <v>2</v>
      </c>
      <c r="G232" s="5" t="s">
        <v>637</v>
      </c>
      <c r="H232" s="5" t="s">
        <v>204</v>
      </c>
      <c r="I232" s="5" t="s">
        <v>638</v>
      </c>
      <c r="J232" s="5" t="s">
        <v>410</v>
      </c>
      <c r="K232" s="10" t="str">
        <f t="shared" ref="K232:K246" si="100">K231</f>
        <v>五险、外出旅游</v>
      </c>
    </row>
    <row r="233" spans="1:11" ht="21" customHeight="1" x14ac:dyDescent="0.25">
      <c r="A233" s="5">
        <f t="shared" ref="A233:D236" si="101">A232</f>
        <v>70</v>
      </c>
      <c r="B233" s="5" t="str">
        <f t="shared" si="101"/>
        <v>贵州微化科技有限公司</v>
      </c>
      <c r="C233" s="5" t="str">
        <f t="shared" si="101"/>
        <v>民营</v>
      </c>
      <c r="D233" s="5" t="str">
        <f t="shared" si="101"/>
        <v>专用设备制造业/化工技术服务业</v>
      </c>
      <c r="E233" s="5" t="s">
        <v>639</v>
      </c>
      <c r="F233" s="5">
        <v>2</v>
      </c>
      <c r="G233" s="5" t="s">
        <v>640</v>
      </c>
      <c r="H233" s="5" t="s">
        <v>204</v>
      </c>
      <c r="I233" s="5" t="s">
        <v>641</v>
      </c>
      <c r="J233" s="5" t="s">
        <v>410</v>
      </c>
      <c r="K233" s="10" t="str">
        <f t="shared" si="100"/>
        <v>五险、外出旅游</v>
      </c>
    </row>
    <row r="234" spans="1:11" ht="21" customHeight="1" x14ac:dyDescent="0.25">
      <c r="A234" s="5">
        <f t="shared" si="101"/>
        <v>70</v>
      </c>
      <c r="B234" s="5" t="str">
        <f t="shared" si="101"/>
        <v>贵州微化科技有限公司</v>
      </c>
      <c r="C234" s="5" t="str">
        <f t="shared" si="101"/>
        <v>民营</v>
      </c>
      <c r="D234" s="5" t="str">
        <f t="shared" si="101"/>
        <v>专用设备制造业/化工技术服务业</v>
      </c>
      <c r="E234" s="5" t="s">
        <v>642</v>
      </c>
      <c r="F234" s="5">
        <v>2</v>
      </c>
      <c r="G234" s="5" t="s">
        <v>640</v>
      </c>
      <c r="H234" s="5" t="s">
        <v>204</v>
      </c>
      <c r="I234" s="5" t="s">
        <v>643</v>
      </c>
      <c r="J234" s="5" t="s">
        <v>410</v>
      </c>
      <c r="K234" s="10" t="str">
        <f t="shared" si="100"/>
        <v>五险、外出旅游</v>
      </c>
    </row>
    <row r="235" spans="1:11" ht="21" customHeight="1" x14ac:dyDescent="0.25">
      <c r="A235" s="5">
        <f t="shared" si="101"/>
        <v>70</v>
      </c>
      <c r="B235" s="5" t="str">
        <f t="shared" si="101"/>
        <v>贵州微化科技有限公司</v>
      </c>
      <c r="C235" s="5" t="str">
        <f t="shared" si="101"/>
        <v>民营</v>
      </c>
      <c r="D235" s="5" t="str">
        <f t="shared" si="101"/>
        <v>专用设备制造业/化工技术服务业</v>
      </c>
      <c r="E235" s="5" t="s">
        <v>644</v>
      </c>
      <c r="F235" s="5">
        <v>2</v>
      </c>
      <c r="G235" s="5" t="s">
        <v>640</v>
      </c>
      <c r="H235" s="5" t="s">
        <v>204</v>
      </c>
      <c r="I235" s="5" t="s">
        <v>645</v>
      </c>
      <c r="J235" s="5" t="s">
        <v>410</v>
      </c>
      <c r="K235" s="10" t="str">
        <f t="shared" si="100"/>
        <v>五险、外出旅游</v>
      </c>
    </row>
    <row r="236" spans="1:11" ht="21" customHeight="1" x14ac:dyDescent="0.25">
      <c r="A236" s="5">
        <f t="shared" si="101"/>
        <v>70</v>
      </c>
      <c r="B236" s="5" t="str">
        <f t="shared" si="101"/>
        <v>贵州微化科技有限公司</v>
      </c>
      <c r="C236" s="5" t="str">
        <f t="shared" si="101"/>
        <v>民营</v>
      </c>
      <c r="D236" s="5" t="str">
        <f t="shared" si="101"/>
        <v>专用设备制造业/化工技术服务业</v>
      </c>
      <c r="E236" s="5" t="s">
        <v>646</v>
      </c>
      <c r="F236" s="5">
        <v>2</v>
      </c>
      <c r="G236" s="5" t="s">
        <v>647</v>
      </c>
      <c r="H236" s="5" t="s">
        <v>204</v>
      </c>
      <c r="I236" s="5" t="s">
        <v>648</v>
      </c>
      <c r="J236" s="5" t="s">
        <v>410</v>
      </c>
      <c r="K236" s="10" t="str">
        <f t="shared" si="100"/>
        <v>五险、外出旅游</v>
      </c>
    </row>
    <row r="237" spans="1:11" ht="21" customHeight="1" x14ac:dyDescent="0.25">
      <c r="A237" s="14">
        <v>71</v>
      </c>
      <c r="B237" s="14" t="s">
        <v>649</v>
      </c>
      <c r="C237" s="14" t="s">
        <v>650</v>
      </c>
      <c r="D237" s="14" t="s">
        <v>651</v>
      </c>
      <c r="E237" s="5" t="s">
        <v>441</v>
      </c>
      <c r="F237" s="5">
        <v>3</v>
      </c>
      <c r="G237" s="5" t="s">
        <v>652</v>
      </c>
      <c r="H237" s="5" t="s">
        <v>158</v>
      </c>
      <c r="I237" s="5" t="s">
        <v>653</v>
      </c>
      <c r="J237" s="5" t="s">
        <v>654</v>
      </c>
      <c r="K237" s="10" t="str">
        <f t="shared" si="100"/>
        <v>五险、外出旅游</v>
      </c>
    </row>
    <row r="238" spans="1:11" ht="21" customHeight="1" x14ac:dyDescent="0.25">
      <c r="A238" s="14">
        <f t="shared" ref="A238:D241" si="102">A237</f>
        <v>71</v>
      </c>
      <c r="B238" s="14" t="str">
        <f t="shared" si="102"/>
        <v>贵州詹阳动力重工有限公司</v>
      </c>
      <c r="C238" s="14" t="str">
        <f t="shared" si="102"/>
        <v>国有</v>
      </c>
      <c r="D238" s="14" t="str">
        <f t="shared" si="102"/>
        <v>先进装备制造</v>
      </c>
      <c r="E238" s="5" t="s">
        <v>655</v>
      </c>
      <c r="F238" s="5">
        <v>4</v>
      </c>
      <c r="G238" s="5" t="s">
        <v>656</v>
      </c>
      <c r="H238" s="5" t="s">
        <v>158</v>
      </c>
      <c r="I238" s="5" t="s">
        <v>657</v>
      </c>
      <c r="J238" s="5" t="s">
        <v>654</v>
      </c>
      <c r="K238" s="10" t="str">
        <f t="shared" si="100"/>
        <v>五险、外出旅游</v>
      </c>
    </row>
    <row r="239" spans="1:11" ht="21" customHeight="1" x14ac:dyDescent="0.25">
      <c r="A239" s="14">
        <f t="shared" si="102"/>
        <v>71</v>
      </c>
      <c r="B239" s="14" t="str">
        <f t="shared" si="102"/>
        <v>贵州詹阳动力重工有限公司</v>
      </c>
      <c r="C239" s="14" t="str">
        <f t="shared" si="102"/>
        <v>国有</v>
      </c>
      <c r="D239" s="14" t="str">
        <f t="shared" si="102"/>
        <v>先进装备制造</v>
      </c>
      <c r="E239" s="5" t="s">
        <v>658</v>
      </c>
      <c r="F239" s="5">
        <v>3</v>
      </c>
      <c r="G239" s="5" t="s">
        <v>659</v>
      </c>
      <c r="H239" s="5" t="s">
        <v>158</v>
      </c>
      <c r="I239" s="5" t="s">
        <v>660</v>
      </c>
      <c r="J239" s="5" t="s">
        <v>654</v>
      </c>
      <c r="K239" s="10" t="str">
        <f t="shared" si="100"/>
        <v>五险、外出旅游</v>
      </c>
    </row>
    <row r="240" spans="1:11" ht="21" customHeight="1" x14ac:dyDescent="0.25">
      <c r="A240" s="14">
        <f t="shared" si="102"/>
        <v>71</v>
      </c>
      <c r="B240" s="14" t="str">
        <f t="shared" si="102"/>
        <v>贵州詹阳动力重工有限公司</v>
      </c>
      <c r="C240" s="14" t="str">
        <f t="shared" si="102"/>
        <v>国有</v>
      </c>
      <c r="D240" s="14" t="str">
        <f t="shared" si="102"/>
        <v>先进装备制造</v>
      </c>
      <c r="E240" s="5" t="s">
        <v>661</v>
      </c>
      <c r="F240" s="5">
        <v>3</v>
      </c>
      <c r="G240" s="5" t="s">
        <v>659</v>
      </c>
      <c r="H240" s="5" t="s">
        <v>204</v>
      </c>
      <c r="I240" s="5" t="s">
        <v>662</v>
      </c>
      <c r="J240" s="5" t="s">
        <v>654</v>
      </c>
      <c r="K240" s="10" t="str">
        <f t="shared" si="100"/>
        <v>五险、外出旅游</v>
      </c>
    </row>
    <row r="241" spans="1:11" ht="21" customHeight="1" x14ac:dyDescent="0.25">
      <c r="A241" s="14">
        <f t="shared" si="102"/>
        <v>71</v>
      </c>
      <c r="B241" s="14" t="str">
        <f t="shared" si="102"/>
        <v>贵州詹阳动力重工有限公司</v>
      </c>
      <c r="C241" s="14" t="str">
        <f t="shared" si="102"/>
        <v>国有</v>
      </c>
      <c r="D241" s="14" t="str">
        <f t="shared" si="102"/>
        <v>先进装备制造</v>
      </c>
      <c r="E241" s="5" t="s">
        <v>663</v>
      </c>
      <c r="F241" s="5">
        <v>3</v>
      </c>
      <c r="G241" s="5" t="s">
        <v>664</v>
      </c>
      <c r="H241" s="5" t="s">
        <v>363</v>
      </c>
      <c r="I241" s="5" t="s">
        <v>665</v>
      </c>
      <c r="J241" s="5" t="s">
        <v>654</v>
      </c>
      <c r="K241" s="10" t="str">
        <f t="shared" si="100"/>
        <v>五险、外出旅游</v>
      </c>
    </row>
    <row r="242" spans="1:11" ht="61.95" customHeight="1" x14ac:dyDescent="0.25">
      <c r="A242" s="5">
        <v>72</v>
      </c>
      <c r="B242" s="5" t="s">
        <v>666</v>
      </c>
      <c r="C242" s="5" t="s">
        <v>11</v>
      </c>
      <c r="D242" s="5" t="s">
        <v>57</v>
      </c>
      <c r="E242" s="5" t="s">
        <v>667</v>
      </c>
      <c r="F242" s="5">
        <v>2</v>
      </c>
      <c r="G242" s="5" t="s">
        <v>668</v>
      </c>
      <c r="H242" s="5" t="s">
        <v>126</v>
      </c>
      <c r="I242" s="5" t="s">
        <v>669</v>
      </c>
      <c r="J242" s="5" t="s">
        <v>670</v>
      </c>
      <c r="K242" s="10" t="str">
        <f t="shared" si="100"/>
        <v>五险、外出旅游</v>
      </c>
    </row>
    <row r="243" spans="1:11" ht="66" customHeight="1" x14ac:dyDescent="0.25">
      <c r="A243" s="5">
        <v>73</v>
      </c>
      <c r="B243" s="5" t="s">
        <v>671</v>
      </c>
      <c r="C243" s="5" t="s">
        <v>11</v>
      </c>
      <c r="D243" s="5" t="s">
        <v>311</v>
      </c>
      <c r="E243" s="5" t="s">
        <v>667</v>
      </c>
      <c r="F243" s="5">
        <v>2</v>
      </c>
      <c r="G243" s="5" t="s">
        <v>672</v>
      </c>
      <c r="H243" s="5" t="s">
        <v>673</v>
      </c>
      <c r="I243" s="5" t="s">
        <v>674</v>
      </c>
      <c r="J243" s="5" t="s">
        <v>670</v>
      </c>
      <c r="K243" s="10" t="str">
        <f t="shared" si="100"/>
        <v>五险、外出旅游</v>
      </c>
    </row>
    <row r="244" spans="1:11" ht="21" customHeight="1" x14ac:dyDescent="0.25">
      <c r="A244" s="6">
        <v>74</v>
      </c>
      <c r="B244" s="6" t="s">
        <v>675</v>
      </c>
      <c r="C244" s="6" t="s">
        <v>11</v>
      </c>
      <c r="D244" s="6" t="s">
        <v>80</v>
      </c>
      <c r="E244" s="5" t="s">
        <v>676</v>
      </c>
      <c r="F244" s="5">
        <v>2</v>
      </c>
      <c r="G244" s="5" t="s">
        <v>677</v>
      </c>
      <c r="H244" s="5" t="s">
        <v>60</v>
      </c>
      <c r="I244" s="5" t="s">
        <v>678</v>
      </c>
      <c r="J244" s="5" t="s">
        <v>516</v>
      </c>
      <c r="K244" s="5" t="str">
        <f t="shared" si="100"/>
        <v>五险、外出旅游</v>
      </c>
    </row>
    <row r="245" spans="1:11" ht="21" customHeight="1" x14ac:dyDescent="0.25">
      <c r="A245" s="30">
        <f t="shared" ref="A245:D248" si="103">A244</f>
        <v>74</v>
      </c>
      <c r="B245" s="30" t="str">
        <f t="shared" si="103"/>
        <v>贵州煜晖电子科技有限公司</v>
      </c>
      <c r="C245" s="30" t="str">
        <f t="shared" si="103"/>
        <v>民营企业</v>
      </c>
      <c r="D245" s="30" t="str">
        <f t="shared" si="103"/>
        <v>其他行业</v>
      </c>
      <c r="E245" s="5" t="s">
        <v>137</v>
      </c>
      <c r="F245" s="5">
        <v>2</v>
      </c>
      <c r="G245" s="5" t="s">
        <v>679</v>
      </c>
      <c r="H245" s="5" t="s">
        <v>60</v>
      </c>
      <c r="I245" s="5" t="s">
        <v>680</v>
      </c>
      <c r="J245" s="5" t="s">
        <v>516</v>
      </c>
      <c r="K245" s="5" t="str">
        <f t="shared" si="100"/>
        <v>五险、外出旅游</v>
      </c>
    </row>
    <row r="246" spans="1:11" ht="21" customHeight="1" x14ac:dyDescent="0.25">
      <c r="A246" s="30">
        <f t="shared" si="103"/>
        <v>74</v>
      </c>
      <c r="B246" s="30" t="str">
        <f t="shared" si="103"/>
        <v>贵州煜晖电子科技有限公司</v>
      </c>
      <c r="C246" s="30" t="str">
        <f t="shared" si="103"/>
        <v>民营企业</v>
      </c>
      <c r="D246" s="30" t="str">
        <f t="shared" si="103"/>
        <v>其他行业</v>
      </c>
      <c r="E246" s="5" t="s">
        <v>131</v>
      </c>
      <c r="F246" s="5">
        <v>3</v>
      </c>
      <c r="G246" s="5" t="s">
        <v>681</v>
      </c>
      <c r="H246" s="5" t="s">
        <v>60</v>
      </c>
      <c r="I246" s="5" t="s">
        <v>682</v>
      </c>
      <c r="J246" s="5" t="s">
        <v>516</v>
      </c>
      <c r="K246" s="5" t="str">
        <f t="shared" si="100"/>
        <v>五险、外出旅游</v>
      </c>
    </row>
    <row r="247" spans="1:11" ht="21" customHeight="1" x14ac:dyDescent="0.25">
      <c r="A247" s="30">
        <f t="shared" si="103"/>
        <v>74</v>
      </c>
      <c r="B247" s="30" t="str">
        <f t="shared" si="103"/>
        <v>贵州煜晖电子科技有限公司</v>
      </c>
      <c r="C247" s="30" t="str">
        <f t="shared" si="103"/>
        <v>民营企业</v>
      </c>
      <c r="D247" s="30" t="str">
        <f t="shared" si="103"/>
        <v>其他行业</v>
      </c>
      <c r="E247" s="5" t="s">
        <v>599</v>
      </c>
      <c r="F247" s="5">
        <v>3</v>
      </c>
      <c r="G247" s="5" t="s">
        <v>683</v>
      </c>
      <c r="H247" s="5" t="s">
        <v>92</v>
      </c>
      <c r="I247" s="5" t="s">
        <v>684</v>
      </c>
      <c r="J247" s="5" t="s">
        <v>516</v>
      </c>
      <c r="K247" s="5" t="s">
        <v>685</v>
      </c>
    </row>
    <row r="248" spans="1:11" ht="21" customHeight="1" x14ac:dyDescent="0.25">
      <c r="A248" s="7">
        <f t="shared" si="103"/>
        <v>74</v>
      </c>
      <c r="B248" s="7" t="str">
        <f t="shared" si="103"/>
        <v>贵州煜晖电子科技有限公司</v>
      </c>
      <c r="C248" s="7" t="str">
        <f t="shared" si="103"/>
        <v>民营企业</v>
      </c>
      <c r="D248" s="7" t="str">
        <f t="shared" si="103"/>
        <v>其他行业</v>
      </c>
      <c r="E248" s="5" t="s">
        <v>686</v>
      </c>
      <c r="F248" s="5">
        <v>3</v>
      </c>
      <c r="G248" s="5" t="s">
        <v>14</v>
      </c>
      <c r="H248" s="5" t="s">
        <v>15</v>
      </c>
      <c r="I248" s="5" t="s">
        <v>687</v>
      </c>
      <c r="J248" s="5" t="s">
        <v>516</v>
      </c>
      <c r="K248" s="5" t="str">
        <f t="shared" ref="K248:K295" si="104">K247</f>
        <v>轮岗部门包括生产部</v>
      </c>
    </row>
    <row r="249" spans="1:11" ht="43.95" customHeight="1" x14ac:dyDescent="0.25">
      <c r="A249" s="6">
        <v>75</v>
      </c>
      <c r="B249" s="6" t="s">
        <v>688</v>
      </c>
      <c r="C249" s="6" t="s">
        <v>11</v>
      </c>
      <c r="D249" s="6" t="s">
        <v>20</v>
      </c>
      <c r="E249" s="5" t="s">
        <v>689</v>
      </c>
      <c r="F249" s="5">
        <v>6</v>
      </c>
      <c r="G249" s="5" t="s">
        <v>690</v>
      </c>
      <c r="H249" s="5" t="s">
        <v>15</v>
      </c>
      <c r="I249" s="5" t="s">
        <v>691</v>
      </c>
      <c r="J249" s="5" t="s">
        <v>579</v>
      </c>
      <c r="K249" s="5" t="str">
        <f t="shared" si="104"/>
        <v>轮岗部门包括生产部</v>
      </c>
    </row>
    <row r="250" spans="1:11" ht="43.95" customHeight="1" x14ac:dyDescent="0.25">
      <c r="A250" s="7">
        <f t="shared" ref="A250:D250" si="105">A249</f>
        <v>75</v>
      </c>
      <c r="B250" s="7" t="str">
        <f t="shared" si="105"/>
        <v>贵州中广科技有限公公司</v>
      </c>
      <c r="C250" s="7" t="str">
        <f t="shared" si="105"/>
        <v>民营企业</v>
      </c>
      <c r="D250" s="7" t="str">
        <f t="shared" si="105"/>
        <v>现代服务业</v>
      </c>
      <c r="E250" s="5" t="s">
        <v>692</v>
      </c>
      <c r="F250" s="5">
        <v>6</v>
      </c>
      <c r="G250" s="5" t="s">
        <v>690</v>
      </c>
      <c r="H250" s="5" t="s">
        <v>15</v>
      </c>
      <c r="I250" s="5" t="s">
        <v>693</v>
      </c>
      <c r="J250" s="5" t="s">
        <v>579</v>
      </c>
      <c r="K250" s="5" t="str">
        <f t="shared" si="104"/>
        <v>轮岗部门包括生产部</v>
      </c>
    </row>
    <row r="251" spans="1:11" ht="42" customHeight="1" x14ac:dyDescent="0.25">
      <c r="A251" s="6">
        <v>76</v>
      </c>
      <c r="B251" s="6" t="s">
        <v>694</v>
      </c>
      <c r="C251" s="6" t="s">
        <v>11</v>
      </c>
      <c r="D251" s="6" t="s">
        <v>80</v>
      </c>
      <c r="E251" s="5" t="s">
        <v>695</v>
      </c>
      <c r="F251" s="5">
        <v>134</v>
      </c>
      <c r="G251" s="5" t="s">
        <v>696</v>
      </c>
      <c r="H251" s="5" t="s">
        <v>15</v>
      </c>
      <c r="I251" s="5" t="s">
        <v>697</v>
      </c>
      <c r="J251" s="5" t="s">
        <v>698</v>
      </c>
      <c r="K251" s="5" t="str">
        <f t="shared" si="104"/>
        <v>轮岗部门包括生产部</v>
      </c>
    </row>
    <row r="252" spans="1:11" ht="43.95" customHeight="1" x14ac:dyDescent="0.25">
      <c r="A252" s="7">
        <f t="shared" ref="A252:D252" si="106">A251</f>
        <v>76</v>
      </c>
      <c r="B252" s="7" t="str">
        <f t="shared" si="106"/>
        <v>海纳实业控股集团有限公司贵州分公司</v>
      </c>
      <c r="C252" s="7" t="str">
        <f t="shared" si="106"/>
        <v>民营企业</v>
      </c>
      <c r="D252" s="7" t="str">
        <f t="shared" si="106"/>
        <v>其他行业</v>
      </c>
      <c r="E252" s="5" t="s">
        <v>699</v>
      </c>
      <c r="F252" s="5">
        <v>10</v>
      </c>
      <c r="G252" s="5" t="s">
        <v>14</v>
      </c>
      <c r="H252" s="5" t="s">
        <v>15</v>
      </c>
      <c r="I252" s="5" t="s">
        <v>700</v>
      </c>
      <c r="J252" s="5" t="s">
        <v>698</v>
      </c>
      <c r="K252" s="5" t="str">
        <f t="shared" si="104"/>
        <v>轮岗部门包括生产部</v>
      </c>
    </row>
    <row r="253" spans="1:11" ht="61.05" customHeight="1" x14ac:dyDescent="0.25">
      <c r="A253" s="5">
        <v>77</v>
      </c>
      <c r="B253" s="5" t="s">
        <v>701</v>
      </c>
      <c r="C253" s="5" t="s">
        <v>11</v>
      </c>
      <c r="D253" s="5" t="s">
        <v>80</v>
      </c>
      <c r="E253" s="5" t="s">
        <v>702</v>
      </c>
      <c r="F253" s="5">
        <v>10</v>
      </c>
      <c r="G253" s="5" t="s">
        <v>14</v>
      </c>
      <c r="H253" s="5" t="s">
        <v>15</v>
      </c>
      <c r="I253" s="5" t="s">
        <v>703</v>
      </c>
      <c r="J253" s="5" t="s">
        <v>698</v>
      </c>
      <c r="K253" s="5" t="str">
        <f t="shared" si="104"/>
        <v>轮岗部门包括生产部</v>
      </c>
    </row>
    <row r="254" spans="1:11" ht="21" customHeight="1" x14ac:dyDescent="0.25">
      <c r="A254" s="6">
        <v>78</v>
      </c>
      <c r="B254" s="6" t="s">
        <v>704</v>
      </c>
      <c r="C254" s="6" t="s">
        <v>11</v>
      </c>
      <c r="D254" s="6" t="s">
        <v>80</v>
      </c>
      <c r="E254" s="5" t="s">
        <v>705</v>
      </c>
      <c r="F254" s="5">
        <v>1</v>
      </c>
      <c r="G254" s="5" t="s">
        <v>14</v>
      </c>
      <c r="H254" s="5" t="s">
        <v>15</v>
      </c>
      <c r="I254" s="5" t="s">
        <v>706</v>
      </c>
      <c r="J254" s="5" t="s">
        <v>707</v>
      </c>
      <c r="K254" s="5" t="str">
        <f t="shared" si="104"/>
        <v>轮岗部门包括生产部</v>
      </c>
    </row>
    <row r="255" spans="1:11" ht="21" customHeight="1" x14ac:dyDescent="0.25">
      <c r="A255" s="30">
        <f t="shared" ref="A255:D259" si="107">A254</f>
        <v>78</v>
      </c>
      <c r="B255" s="30" t="str">
        <f t="shared" si="107"/>
        <v>京东五星电器集团重庆星普有限公司（贵阳办事处）</v>
      </c>
      <c r="C255" s="30" t="str">
        <f t="shared" si="107"/>
        <v>民营企业</v>
      </c>
      <c r="D255" s="30" t="str">
        <f t="shared" si="107"/>
        <v>其他行业</v>
      </c>
      <c r="E255" s="5" t="s">
        <v>708</v>
      </c>
      <c r="F255" s="5">
        <v>80</v>
      </c>
      <c r="G255" s="5" t="s">
        <v>14</v>
      </c>
      <c r="H255" s="5" t="s">
        <v>15</v>
      </c>
      <c r="I255" s="5" t="s">
        <v>709</v>
      </c>
      <c r="J255" s="5" t="s">
        <v>707</v>
      </c>
      <c r="K255" s="5" t="str">
        <f t="shared" si="104"/>
        <v>轮岗部门包括生产部</v>
      </c>
    </row>
    <row r="256" spans="1:11" ht="21" customHeight="1" x14ac:dyDescent="0.25">
      <c r="A256" s="30">
        <f t="shared" si="107"/>
        <v>78</v>
      </c>
      <c r="B256" s="30" t="str">
        <f t="shared" si="107"/>
        <v>京东五星电器集团重庆星普有限公司（贵阳办事处）</v>
      </c>
      <c r="C256" s="30" t="str">
        <f t="shared" si="107"/>
        <v>民营企业</v>
      </c>
      <c r="D256" s="30" t="str">
        <f t="shared" si="107"/>
        <v>其他行业</v>
      </c>
      <c r="E256" s="5" t="s">
        <v>710</v>
      </c>
      <c r="F256" s="5">
        <v>10</v>
      </c>
      <c r="G256" s="5" t="s">
        <v>14</v>
      </c>
      <c r="H256" s="5" t="s">
        <v>15</v>
      </c>
      <c r="I256" s="5" t="s">
        <v>711</v>
      </c>
      <c r="J256" s="5" t="s">
        <v>707</v>
      </c>
      <c r="K256" s="5" t="str">
        <f t="shared" si="104"/>
        <v>轮岗部门包括生产部</v>
      </c>
    </row>
    <row r="257" spans="1:11" ht="21" customHeight="1" x14ac:dyDescent="0.25">
      <c r="A257" s="30">
        <f t="shared" si="107"/>
        <v>78</v>
      </c>
      <c r="B257" s="30" t="str">
        <f t="shared" si="107"/>
        <v>京东五星电器集团重庆星普有限公司（贵阳办事处）</v>
      </c>
      <c r="C257" s="30" t="str">
        <f t="shared" si="107"/>
        <v>民营企业</v>
      </c>
      <c r="D257" s="30" t="str">
        <f t="shared" si="107"/>
        <v>其他行业</v>
      </c>
      <c r="E257" s="5" t="s">
        <v>712</v>
      </c>
      <c r="F257" s="5">
        <v>10</v>
      </c>
      <c r="G257" s="5" t="s">
        <v>14</v>
      </c>
      <c r="H257" s="5" t="s">
        <v>15</v>
      </c>
      <c r="I257" s="5" t="s">
        <v>713</v>
      </c>
      <c r="J257" s="5" t="s">
        <v>707</v>
      </c>
      <c r="K257" s="5" t="str">
        <f t="shared" si="104"/>
        <v>轮岗部门包括生产部</v>
      </c>
    </row>
    <row r="258" spans="1:11" ht="21" customHeight="1" x14ac:dyDescent="0.25">
      <c r="A258" s="30">
        <f t="shared" si="107"/>
        <v>78</v>
      </c>
      <c r="B258" s="30" t="str">
        <f t="shared" si="107"/>
        <v>京东五星电器集团重庆星普有限公司（贵阳办事处）</v>
      </c>
      <c r="C258" s="30" t="str">
        <f t="shared" si="107"/>
        <v>民营企业</v>
      </c>
      <c r="D258" s="30" t="str">
        <f t="shared" si="107"/>
        <v>其他行业</v>
      </c>
      <c r="E258" s="5" t="s">
        <v>714</v>
      </c>
      <c r="F258" s="5">
        <v>10</v>
      </c>
      <c r="G258" s="5" t="s">
        <v>14</v>
      </c>
      <c r="H258" s="5" t="s">
        <v>15</v>
      </c>
      <c r="I258" s="5" t="s">
        <v>715</v>
      </c>
      <c r="J258" s="5" t="s">
        <v>707</v>
      </c>
      <c r="K258" s="5" t="str">
        <f t="shared" si="104"/>
        <v>轮岗部门包括生产部</v>
      </c>
    </row>
    <row r="259" spans="1:11" ht="21" customHeight="1" x14ac:dyDescent="0.25">
      <c r="A259" s="7">
        <f t="shared" si="107"/>
        <v>78</v>
      </c>
      <c r="B259" s="7" t="str">
        <f t="shared" si="107"/>
        <v>京东五星电器集团重庆星普有限公司（贵阳办事处）</v>
      </c>
      <c r="C259" s="7" t="str">
        <f t="shared" si="107"/>
        <v>民营企业</v>
      </c>
      <c r="D259" s="7" t="str">
        <f t="shared" si="107"/>
        <v>其他行业</v>
      </c>
      <c r="E259" s="5" t="s">
        <v>716</v>
      </c>
      <c r="F259" s="5">
        <v>8</v>
      </c>
      <c r="G259" s="5" t="s">
        <v>14</v>
      </c>
      <c r="H259" s="5" t="s">
        <v>15</v>
      </c>
      <c r="I259" s="5" t="s">
        <v>717</v>
      </c>
      <c r="J259" s="5" t="s">
        <v>707</v>
      </c>
      <c r="K259" s="5" t="str">
        <f t="shared" si="104"/>
        <v>轮岗部门包括生产部</v>
      </c>
    </row>
    <row r="260" spans="1:11" ht="52.95" customHeight="1" x14ac:dyDescent="0.25">
      <c r="A260" s="5">
        <v>79</v>
      </c>
      <c r="B260" s="5" t="s">
        <v>718</v>
      </c>
      <c r="C260" s="5" t="s">
        <v>11</v>
      </c>
      <c r="D260" s="5" t="s">
        <v>101</v>
      </c>
      <c r="E260" s="5" t="s">
        <v>719</v>
      </c>
      <c r="F260" s="5">
        <v>5</v>
      </c>
      <c r="G260" s="5" t="s">
        <v>720</v>
      </c>
      <c r="H260" s="5" t="s">
        <v>15</v>
      </c>
      <c r="I260" s="5" t="s">
        <v>721</v>
      </c>
      <c r="J260" s="5" t="s">
        <v>516</v>
      </c>
      <c r="K260" s="5" t="str">
        <f t="shared" si="104"/>
        <v>轮岗部门包括生产部</v>
      </c>
    </row>
    <row r="261" spans="1:11" ht="58.95" customHeight="1" x14ac:dyDescent="0.25">
      <c r="A261" s="31">
        <v>80</v>
      </c>
      <c r="B261" s="6" t="s">
        <v>722</v>
      </c>
      <c r="C261" s="5" t="s">
        <v>11</v>
      </c>
      <c r="D261" s="5" t="s">
        <v>311</v>
      </c>
      <c r="E261" s="5" t="s">
        <v>723</v>
      </c>
      <c r="F261" s="5">
        <v>10</v>
      </c>
      <c r="G261" s="5" t="s">
        <v>724</v>
      </c>
      <c r="H261" s="5" t="s">
        <v>15</v>
      </c>
      <c r="I261" s="5" t="s">
        <v>725</v>
      </c>
      <c r="J261" s="5" t="s">
        <v>726</v>
      </c>
      <c r="K261" s="10" t="str">
        <f t="shared" si="104"/>
        <v>轮岗部门包括生产部</v>
      </c>
    </row>
    <row r="262" spans="1:11" ht="58.05" customHeight="1" x14ac:dyDescent="0.25">
      <c r="A262" s="9">
        <f t="shared" ref="A262:B262" si="108">A261</f>
        <v>80</v>
      </c>
      <c r="B262" s="7" t="str">
        <f t="shared" si="108"/>
        <v>贵阳新天药业股份有限公司</v>
      </c>
      <c r="C262" s="5" t="s">
        <v>11</v>
      </c>
      <c r="D262" s="5" t="s">
        <v>311</v>
      </c>
      <c r="E262" s="5" t="s">
        <v>727</v>
      </c>
      <c r="F262" s="5">
        <v>10</v>
      </c>
      <c r="G262" s="5" t="s">
        <v>728</v>
      </c>
      <c r="H262" s="5" t="s">
        <v>15</v>
      </c>
      <c r="I262" s="5" t="s">
        <v>729</v>
      </c>
      <c r="J262" s="5" t="s">
        <v>726</v>
      </c>
      <c r="K262" s="10" t="str">
        <f t="shared" si="104"/>
        <v>轮岗部门包括生产部</v>
      </c>
    </row>
    <row r="263" spans="1:11" ht="28.05" customHeight="1" x14ac:dyDescent="0.25">
      <c r="A263" s="31">
        <v>81</v>
      </c>
      <c r="B263" s="6" t="s">
        <v>730</v>
      </c>
      <c r="C263" s="6" t="s">
        <v>11</v>
      </c>
      <c r="D263" s="6" t="s">
        <v>80</v>
      </c>
      <c r="E263" s="10" t="s">
        <v>731</v>
      </c>
      <c r="F263" s="5">
        <v>1</v>
      </c>
      <c r="G263" s="5" t="s">
        <v>732</v>
      </c>
      <c r="H263" s="5" t="s">
        <v>83</v>
      </c>
      <c r="I263" s="5" t="s">
        <v>733</v>
      </c>
      <c r="J263" s="5" t="s">
        <v>734</v>
      </c>
      <c r="K263" s="10" t="str">
        <f t="shared" si="104"/>
        <v>轮岗部门包括生产部</v>
      </c>
    </row>
    <row r="264" spans="1:11" ht="33" customHeight="1" x14ac:dyDescent="0.25">
      <c r="A264" s="32">
        <f t="shared" ref="A264:D266" si="109">A263</f>
        <v>81</v>
      </c>
      <c r="B264" s="30" t="str">
        <f t="shared" si="109"/>
        <v>贵州邦浦智能制造有限公司</v>
      </c>
      <c r="C264" s="30" t="str">
        <f t="shared" si="109"/>
        <v>民营企业</v>
      </c>
      <c r="D264" s="30" t="str">
        <f t="shared" si="109"/>
        <v>其他行业</v>
      </c>
      <c r="E264" s="10" t="s">
        <v>735</v>
      </c>
      <c r="F264" s="5">
        <v>1</v>
      </c>
      <c r="G264" s="5" t="s">
        <v>736</v>
      </c>
      <c r="H264" s="5" t="s">
        <v>15</v>
      </c>
      <c r="I264" s="5" t="s">
        <v>737</v>
      </c>
      <c r="J264" s="5" t="s">
        <v>734</v>
      </c>
      <c r="K264" s="10" t="str">
        <f t="shared" si="104"/>
        <v>轮岗部门包括生产部</v>
      </c>
    </row>
    <row r="265" spans="1:11" ht="28.05" customHeight="1" x14ac:dyDescent="0.25">
      <c r="A265" s="32">
        <f t="shared" si="109"/>
        <v>81</v>
      </c>
      <c r="B265" s="30" t="str">
        <f t="shared" si="109"/>
        <v>贵州邦浦智能制造有限公司</v>
      </c>
      <c r="C265" s="30" t="str">
        <f t="shared" si="109"/>
        <v>民营企业</v>
      </c>
      <c r="D265" s="30" t="str">
        <f t="shared" si="109"/>
        <v>其他行业</v>
      </c>
      <c r="E265" s="10" t="s">
        <v>618</v>
      </c>
      <c r="F265" s="5">
        <v>2</v>
      </c>
      <c r="G265" s="5" t="s">
        <v>736</v>
      </c>
      <c r="H265" s="5" t="s">
        <v>15</v>
      </c>
      <c r="I265" s="5" t="s">
        <v>738</v>
      </c>
      <c r="J265" s="5" t="s">
        <v>734</v>
      </c>
      <c r="K265" s="10" t="str">
        <f t="shared" si="104"/>
        <v>轮岗部门包括生产部</v>
      </c>
    </row>
    <row r="266" spans="1:11" ht="31.95" customHeight="1" x14ac:dyDescent="0.25">
      <c r="A266" s="9">
        <f t="shared" si="109"/>
        <v>81</v>
      </c>
      <c r="B266" s="7" t="str">
        <f t="shared" si="109"/>
        <v>贵州邦浦智能制造有限公司</v>
      </c>
      <c r="C266" s="7" t="str">
        <f t="shared" si="109"/>
        <v>民营企业</v>
      </c>
      <c r="D266" s="7" t="str">
        <f t="shared" si="109"/>
        <v>其他行业</v>
      </c>
      <c r="E266" s="5" t="s">
        <v>739</v>
      </c>
      <c r="F266" s="5">
        <v>2</v>
      </c>
      <c r="G266" s="5" t="s">
        <v>736</v>
      </c>
      <c r="H266" s="5" t="s">
        <v>15</v>
      </c>
      <c r="I266" s="5" t="s">
        <v>740</v>
      </c>
      <c r="J266" s="5" t="s">
        <v>734</v>
      </c>
      <c r="K266" s="10" t="str">
        <f t="shared" si="104"/>
        <v>轮岗部门包括生产部</v>
      </c>
    </row>
    <row r="267" spans="1:11" ht="21" customHeight="1" x14ac:dyDescent="0.25">
      <c r="A267" s="31">
        <v>82</v>
      </c>
      <c r="B267" s="6" t="s">
        <v>741</v>
      </c>
      <c r="C267" s="6" t="s">
        <v>11</v>
      </c>
      <c r="D267" s="6" t="s">
        <v>80</v>
      </c>
      <c r="E267" s="5" t="s">
        <v>131</v>
      </c>
      <c r="F267" s="5">
        <v>1</v>
      </c>
      <c r="G267" s="24" t="s">
        <v>742</v>
      </c>
      <c r="H267" s="24" t="s">
        <v>15</v>
      </c>
      <c r="I267" s="27" t="s">
        <v>743</v>
      </c>
      <c r="J267" s="6" t="s">
        <v>744</v>
      </c>
      <c r="K267" s="28" t="str">
        <f t="shared" si="104"/>
        <v>轮岗部门包括生产部</v>
      </c>
    </row>
    <row r="268" spans="1:11" ht="21" customHeight="1" x14ac:dyDescent="0.25">
      <c r="A268" s="32">
        <f t="shared" ref="A268:D271" si="110">A267</f>
        <v>82</v>
      </c>
      <c r="B268" s="30" t="str">
        <f t="shared" si="110"/>
        <v>太仓戴尔塔精密科技有限公司</v>
      </c>
      <c r="C268" s="30" t="str">
        <f t="shared" si="110"/>
        <v>民营企业</v>
      </c>
      <c r="D268" s="30" t="str">
        <f t="shared" si="110"/>
        <v>其他行业</v>
      </c>
      <c r="E268" s="5" t="s">
        <v>745</v>
      </c>
      <c r="F268" s="5">
        <v>1</v>
      </c>
      <c r="G268" s="24" t="s">
        <v>742</v>
      </c>
      <c r="H268" s="24" t="s">
        <v>15</v>
      </c>
      <c r="I268" s="27" t="s">
        <v>746</v>
      </c>
      <c r="J268" s="30" t="str">
        <f t="shared" ref="J268:J271" si="111">J267</f>
        <v>贵阳市乌当区智汇云锦孵化基地</v>
      </c>
      <c r="K268" s="28" t="str">
        <f t="shared" si="104"/>
        <v>轮岗部门包括生产部</v>
      </c>
    </row>
    <row r="269" spans="1:11" ht="21" customHeight="1" x14ac:dyDescent="0.25">
      <c r="A269" s="32">
        <f t="shared" si="110"/>
        <v>82</v>
      </c>
      <c r="B269" s="30" t="str">
        <f t="shared" si="110"/>
        <v>太仓戴尔塔精密科技有限公司</v>
      </c>
      <c r="C269" s="30" t="str">
        <f t="shared" si="110"/>
        <v>民营企业</v>
      </c>
      <c r="D269" s="30" t="str">
        <f t="shared" si="110"/>
        <v>其他行业</v>
      </c>
      <c r="E269" s="5" t="s">
        <v>747</v>
      </c>
      <c r="F269" s="5">
        <v>1</v>
      </c>
      <c r="G269" s="24" t="s">
        <v>742</v>
      </c>
      <c r="H269" s="24" t="s">
        <v>15</v>
      </c>
      <c r="I269" s="27" t="s">
        <v>748</v>
      </c>
      <c r="J269" s="30" t="str">
        <f t="shared" si="111"/>
        <v>贵阳市乌当区智汇云锦孵化基地</v>
      </c>
      <c r="K269" s="28" t="str">
        <f t="shared" si="104"/>
        <v>轮岗部门包括生产部</v>
      </c>
    </row>
    <row r="270" spans="1:11" ht="21" customHeight="1" x14ac:dyDescent="0.25">
      <c r="A270" s="32">
        <f t="shared" si="110"/>
        <v>82</v>
      </c>
      <c r="B270" s="30" t="str">
        <f t="shared" si="110"/>
        <v>太仓戴尔塔精密科技有限公司</v>
      </c>
      <c r="C270" s="30" t="str">
        <f t="shared" si="110"/>
        <v>民营企业</v>
      </c>
      <c r="D270" s="30" t="str">
        <f t="shared" si="110"/>
        <v>其他行业</v>
      </c>
      <c r="E270" s="5" t="s">
        <v>749</v>
      </c>
      <c r="F270" s="5">
        <v>1</v>
      </c>
      <c r="G270" s="24" t="s">
        <v>742</v>
      </c>
      <c r="H270" s="24" t="s">
        <v>15</v>
      </c>
      <c r="I270" s="27" t="s">
        <v>750</v>
      </c>
      <c r="J270" s="30" t="str">
        <f t="shared" si="111"/>
        <v>贵阳市乌当区智汇云锦孵化基地</v>
      </c>
      <c r="K270" s="28" t="str">
        <f t="shared" si="104"/>
        <v>轮岗部门包括生产部</v>
      </c>
    </row>
    <row r="271" spans="1:11" ht="21" customHeight="1" x14ac:dyDescent="0.25">
      <c r="A271" s="9">
        <f t="shared" si="110"/>
        <v>82</v>
      </c>
      <c r="B271" s="7" t="str">
        <f t="shared" si="110"/>
        <v>太仓戴尔塔精密科技有限公司</v>
      </c>
      <c r="C271" s="7" t="str">
        <f t="shared" si="110"/>
        <v>民营企业</v>
      </c>
      <c r="D271" s="7" t="str">
        <f t="shared" si="110"/>
        <v>其他行业</v>
      </c>
      <c r="E271" s="25" t="s">
        <v>751</v>
      </c>
      <c r="F271" s="5">
        <v>1</v>
      </c>
      <c r="G271" s="24" t="s">
        <v>742</v>
      </c>
      <c r="H271" s="24" t="s">
        <v>15</v>
      </c>
      <c r="I271" s="29" t="s">
        <v>752</v>
      </c>
      <c r="J271" s="7" t="str">
        <f t="shared" si="111"/>
        <v>贵阳市乌当区智汇云锦孵化基地</v>
      </c>
      <c r="K271" s="28" t="str">
        <f t="shared" si="104"/>
        <v>轮岗部门包括生产部</v>
      </c>
    </row>
    <row r="272" spans="1:11" ht="43.95" customHeight="1" x14ac:dyDescent="0.25">
      <c r="A272" s="31">
        <v>83</v>
      </c>
      <c r="B272" s="6" t="s">
        <v>753</v>
      </c>
      <c r="C272" s="6" t="s">
        <v>306</v>
      </c>
      <c r="D272" s="6" t="s">
        <v>311</v>
      </c>
      <c r="E272" s="10" t="s">
        <v>754</v>
      </c>
      <c r="F272" s="5">
        <v>2</v>
      </c>
      <c r="G272" s="5" t="s">
        <v>312</v>
      </c>
      <c r="H272" s="5" t="s">
        <v>83</v>
      </c>
      <c r="I272" s="5" t="s">
        <v>755</v>
      </c>
      <c r="J272" s="5" t="s">
        <v>756</v>
      </c>
      <c r="K272" s="10" t="str">
        <f t="shared" si="104"/>
        <v>轮岗部门包括生产部</v>
      </c>
    </row>
    <row r="273" spans="1:11" ht="40.950000000000003" customHeight="1" x14ac:dyDescent="0.25">
      <c r="A273" s="32">
        <f t="shared" ref="A273:D279" si="112">A272</f>
        <v>83</v>
      </c>
      <c r="B273" s="30" t="str">
        <f t="shared" si="112"/>
        <v>贵州华工工具注塑有限公司</v>
      </c>
      <c r="C273" s="30" t="str">
        <f t="shared" si="112"/>
        <v>国有企业</v>
      </c>
      <c r="D273" s="30" t="str">
        <f t="shared" si="112"/>
        <v>新型工业化</v>
      </c>
      <c r="E273" s="10" t="s">
        <v>757</v>
      </c>
      <c r="F273" s="5">
        <v>1</v>
      </c>
      <c r="G273" s="5" t="s">
        <v>312</v>
      </c>
      <c r="H273" s="5" t="s">
        <v>83</v>
      </c>
      <c r="I273" s="5" t="s">
        <v>755</v>
      </c>
      <c r="J273" s="5" t="s">
        <v>756</v>
      </c>
      <c r="K273" s="10" t="str">
        <f t="shared" si="104"/>
        <v>轮岗部门包括生产部</v>
      </c>
    </row>
    <row r="274" spans="1:11" ht="40.950000000000003" customHeight="1" x14ac:dyDescent="0.25">
      <c r="A274" s="32">
        <f t="shared" si="112"/>
        <v>83</v>
      </c>
      <c r="B274" s="30" t="str">
        <f t="shared" si="112"/>
        <v>贵州华工工具注塑有限公司</v>
      </c>
      <c r="C274" s="30" t="str">
        <f t="shared" si="112"/>
        <v>国有企业</v>
      </c>
      <c r="D274" s="30" t="str">
        <f t="shared" si="112"/>
        <v>新型工业化</v>
      </c>
      <c r="E274" s="10" t="s">
        <v>758</v>
      </c>
      <c r="F274" s="5">
        <v>1</v>
      </c>
      <c r="G274" s="5" t="s">
        <v>312</v>
      </c>
      <c r="H274" s="5" t="s">
        <v>83</v>
      </c>
      <c r="I274" s="5" t="s">
        <v>755</v>
      </c>
      <c r="J274" s="5" t="s">
        <v>756</v>
      </c>
      <c r="K274" s="10" t="str">
        <f t="shared" si="104"/>
        <v>轮岗部门包括生产部</v>
      </c>
    </row>
    <row r="275" spans="1:11" ht="40.950000000000003" customHeight="1" x14ac:dyDescent="0.25">
      <c r="A275" s="32">
        <f t="shared" si="112"/>
        <v>83</v>
      </c>
      <c r="B275" s="30" t="str">
        <f t="shared" si="112"/>
        <v>贵州华工工具注塑有限公司</v>
      </c>
      <c r="C275" s="30" t="str">
        <f t="shared" si="112"/>
        <v>国有企业</v>
      </c>
      <c r="D275" s="30" t="str">
        <f t="shared" si="112"/>
        <v>新型工业化</v>
      </c>
      <c r="E275" s="10" t="s">
        <v>759</v>
      </c>
      <c r="F275" s="5">
        <v>1</v>
      </c>
      <c r="G275" s="5" t="s">
        <v>312</v>
      </c>
      <c r="H275" s="5" t="s">
        <v>83</v>
      </c>
      <c r="I275" s="5" t="s">
        <v>755</v>
      </c>
      <c r="J275" s="5" t="s">
        <v>756</v>
      </c>
      <c r="K275" s="10" t="str">
        <f t="shared" si="104"/>
        <v>轮岗部门包括生产部</v>
      </c>
    </row>
    <row r="276" spans="1:11" ht="40.950000000000003" customHeight="1" x14ac:dyDescent="0.25">
      <c r="A276" s="32">
        <f t="shared" si="112"/>
        <v>83</v>
      </c>
      <c r="B276" s="30" t="str">
        <f t="shared" si="112"/>
        <v>贵州华工工具注塑有限公司</v>
      </c>
      <c r="C276" s="30" t="str">
        <f t="shared" si="112"/>
        <v>国有企业</v>
      </c>
      <c r="D276" s="30" t="str">
        <f t="shared" si="112"/>
        <v>新型工业化</v>
      </c>
      <c r="E276" s="10" t="s">
        <v>760</v>
      </c>
      <c r="F276" s="5">
        <v>1</v>
      </c>
      <c r="G276" s="5" t="s">
        <v>312</v>
      </c>
      <c r="H276" s="5" t="s">
        <v>83</v>
      </c>
      <c r="I276" s="5" t="s">
        <v>755</v>
      </c>
      <c r="J276" s="5" t="s">
        <v>756</v>
      </c>
      <c r="K276" s="10" t="str">
        <f t="shared" si="104"/>
        <v>轮岗部门包括生产部</v>
      </c>
    </row>
    <row r="277" spans="1:11" ht="40.950000000000003" customHeight="1" x14ac:dyDescent="0.25">
      <c r="A277" s="32">
        <f t="shared" si="112"/>
        <v>83</v>
      </c>
      <c r="B277" s="30" t="str">
        <f t="shared" si="112"/>
        <v>贵州华工工具注塑有限公司</v>
      </c>
      <c r="C277" s="30" t="str">
        <f t="shared" si="112"/>
        <v>国有企业</v>
      </c>
      <c r="D277" s="30" t="str">
        <f t="shared" si="112"/>
        <v>新型工业化</v>
      </c>
      <c r="E277" s="5" t="s">
        <v>761</v>
      </c>
      <c r="F277" s="5">
        <v>4</v>
      </c>
      <c r="G277" s="5" t="s">
        <v>762</v>
      </c>
      <c r="H277" s="5" t="s">
        <v>83</v>
      </c>
      <c r="I277" s="5" t="s">
        <v>763</v>
      </c>
      <c r="J277" s="5" t="s">
        <v>756</v>
      </c>
      <c r="K277" s="10" t="str">
        <f t="shared" si="104"/>
        <v>轮岗部门包括生产部</v>
      </c>
    </row>
    <row r="278" spans="1:11" ht="40.950000000000003" customHeight="1" x14ac:dyDescent="0.25">
      <c r="A278" s="32">
        <f t="shared" si="112"/>
        <v>83</v>
      </c>
      <c r="B278" s="30" t="str">
        <f t="shared" si="112"/>
        <v>贵州华工工具注塑有限公司</v>
      </c>
      <c r="C278" s="30" t="str">
        <f t="shared" si="112"/>
        <v>国有企业</v>
      </c>
      <c r="D278" s="30" t="str">
        <f t="shared" si="112"/>
        <v>新型工业化</v>
      </c>
      <c r="E278" s="5" t="s">
        <v>764</v>
      </c>
      <c r="F278" s="5">
        <v>1</v>
      </c>
      <c r="G278" s="5" t="s">
        <v>765</v>
      </c>
      <c r="H278" s="5" t="s">
        <v>92</v>
      </c>
      <c r="I278" s="5" t="s">
        <v>766</v>
      </c>
      <c r="J278" s="5" t="s">
        <v>756</v>
      </c>
      <c r="K278" s="10" t="str">
        <f t="shared" si="104"/>
        <v>轮岗部门包括生产部</v>
      </c>
    </row>
    <row r="279" spans="1:11" ht="40.950000000000003" customHeight="1" x14ac:dyDescent="0.25">
      <c r="A279" s="9">
        <f t="shared" si="112"/>
        <v>83</v>
      </c>
      <c r="B279" s="7" t="str">
        <f t="shared" si="112"/>
        <v>贵州华工工具注塑有限公司</v>
      </c>
      <c r="C279" s="7" t="str">
        <f t="shared" si="112"/>
        <v>国有企业</v>
      </c>
      <c r="D279" s="7" t="str">
        <f t="shared" si="112"/>
        <v>新型工业化</v>
      </c>
      <c r="E279" s="5" t="s">
        <v>764</v>
      </c>
      <c r="F279" s="5">
        <v>1</v>
      </c>
      <c r="G279" s="5" t="s">
        <v>765</v>
      </c>
      <c r="H279" s="5" t="s">
        <v>92</v>
      </c>
      <c r="I279" s="5" t="s">
        <v>767</v>
      </c>
      <c r="J279" s="5" t="s">
        <v>768</v>
      </c>
      <c r="K279" s="10" t="str">
        <f t="shared" si="104"/>
        <v>轮岗部门包括生产部</v>
      </c>
    </row>
    <row r="280" spans="1:11" ht="40.950000000000003" customHeight="1" x14ac:dyDescent="0.25">
      <c r="A280" s="31">
        <v>84</v>
      </c>
      <c r="B280" s="6" t="s">
        <v>769</v>
      </c>
      <c r="C280" s="24" t="s">
        <v>11</v>
      </c>
      <c r="D280" s="24" t="s">
        <v>311</v>
      </c>
      <c r="E280" s="5" t="s">
        <v>770</v>
      </c>
      <c r="F280" s="5">
        <v>1</v>
      </c>
      <c r="G280" s="5" t="s">
        <v>14</v>
      </c>
      <c r="H280" s="5" t="s">
        <v>158</v>
      </c>
      <c r="I280" s="5" t="s">
        <v>771</v>
      </c>
      <c r="J280" s="5" t="s">
        <v>579</v>
      </c>
      <c r="K280" s="26" t="str">
        <f t="shared" si="104"/>
        <v>轮岗部门包括生产部</v>
      </c>
    </row>
    <row r="281" spans="1:11" ht="40.950000000000003" customHeight="1" x14ac:dyDescent="0.25">
      <c r="A281" s="32">
        <f t="shared" ref="A281:B287" si="113">A280</f>
        <v>84</v>
      </c>
      <c r="B281" s="30" t="str">
        <f t="shared" si="113"/>
        <v>贵州北极熊实业有限公司</v>
      </c>
      <c r="C281" s="24" t="s">
        <v>11</v>
      </c>
      <c r="D281" s="24" t="s">
        <v>311</v>
      </c>
      <c r="E281" s="5" t="s">
        <v>772</v>
      </c>
      <c r="F281" s="5">
        <v>8</v>
      </c>
      <c r="G281" s="5" t="s">
        <v>773</v>
      </c>
      <c r="H281" s="5" t="s">
        <v>402</v>
      </c>
      <c r="I281" s="5" t="s">
        <v>774</v>
      </c>
      <c r="J281" s="5" t="s">
        <v>579</v>
      </c>
      <c r="K281" s="26" t="str">
        <f t="shared" si="104"/>
        <v>轮岗部门包括生产部</v>
      </c>
    </row>
    <row r="282" spans="1:11" ht="40.950000000000003" customHeight="1" x14ac:dyDescent="0.25">
      <c r="A282" s="32">
        <f t="shared" si="113"/>
        <v>84</v>
      </c>
      <c r="B282" s="30" t="str">
        <f t="shared" si="113"/>
        <v>贵州北极熊实业有限公司</v>
      </c>
      <c r="C282" s="24" t="s">
        <v>11</v>
      </c>
      <c r="D282" s="24" t="s">
        <v>311</v>
      </c>
      <c r="E282" s="5" t="s">
        <v>775</v>
      </c>
      <c r="F282" s="5">
        <v>1</v>
      </c>
      <c r="G282" s="5" t="s">
        <v>773</v>
      </c>
      <c r="H282" s="5" t="s">
        <v>402</v>
      </c>
      <c r="I282" s="5" t="s">
        <v>774</v>
      </c>
      <c r="J282" s="5" t="s">
        <v>776</v>
      </c>
      <c r="K282" s="26" t="str">
        <f t="shared" si="104"/>
        <v>轮岗部门包括生产部</v>
      </c>
    </row>
    <row r="283" spans="1:11" ht="40.950000000000003" customHeight="1" x14ac:dyDescent="0.25">
      <c r="A283" s="32">
        <f t="shared" si="113"/>
        <v>84</v>
      </c>
      <c r="B283" s="30" t="str">
        <f t="shared" si="113"/>
        <v>贵州北极熊实业有限公司</v>
      </c>
      <c r="C283" s="24" t="s">
        <v>11</v>
      </c>
      <c r="D283" s="24" t="s">
        <v>311</v>
      </c>
      <c r="E283" s="5" t="s">
        <v>777</v>
      </c>
      <c r="F283" s="5">
        <v>1</v>
      </c>
      <c r="G283" s="5" t="s">
        <v>773</v>
      </c>
      <c r="H283" s="5" t="s">
        <v>402</v>
      </c>
      <c r="I283" s="5" t="s">
        <v>778</v>
      </c>
      <c r="J283" s="5" t="s">
        <v>779</v>
      </c>
      <c r="K283" s="26" t="str">
        <f t="shared" si="104"/>
        <v>轮岗部门包括生产部</v>
      </c>
    </row>
    <row r="284" spans="1:11" ht="40.950000000000003" customHeight="1" x14ac:dyDescent="0.25">
      <c r="A284" s="32">
        <f t="shared" si="113"/>
        <v>84</v>
      </c>
      <c r="B284" s="30" t="str">
        <f t="shared" si="113"/>
        <v>贵州北极熊实业有限公司</v>
      </c>
      <c r="C284" s="24" t="s">
        <v>11</v>
      </c>
      <c r="D284" s="24" t="s">
        <v>311</v>
      </c>
      <c r="E284" s="5" t="s">
        <v>780</v>
      </c>
      <c r="F284" s="5">
        <v>1</v>
      </c>
      <c r="G284" s="5" t="s">
        <v>773</v>
      </c>
      <c r="H284" s="5" t="s">
        <v>402</v>
      </c>
      <c r="I284" s="5" t="s">
        <v>781</v>
      </c>
      <c r="J284" s="5" t="s">
        <v>782</v>
      </c>
      <c r="K284" s="26" t="str">
        <f t="shared" si="104"/>
        <v>轮岗部门包括生产部</v>
      </c>
    </row>
    <row r="285" spans="1:11" ht="40.950000000000003" customHeight="1" x14ac:dyDescent="0.25">
      <c r="A285" s="32">
        <f t="shared" si="113"/>
        <v>84</v>
      </c>
      <c r="B285" s="30" t="str">
        <f t="shared" si="113"/>
        <v>贵州北极熊实业有限公司</v>
      </c>
      <c r="C285" s="24" t="s">
        <v>11</v>
      </c>
      <c r="D285" s="24" t="s">
        <v>311</v>
      </c>
      <c r="E285" s="5" t="s">
        <v>783</v>
      </c>
      <c r="F285" s="5">
        <v>1</v>
      </c>
      <c r="G285" s="5" t="s">
        <v>773</v>
      </c>
      <c r="H285" s="5" t="s">
        <v>402</v>
      </c>
      <c r="I285" s="5" t="s">
        <v>778</v>
      </c>
      <c r="J285" s="5" t="s">
        <v>784</v>
      </c>
      <c r="K285" s="26" t="str">
        <f t="shared" si="104"/>
        <v>轮岗部门包括生产部</v>
      </c>
    </row>
    <row r="286" spans="1:11" ht="40.950000000000003" customHeight="1" x14ac:dyDescent="0.25">
      <c r="A286" s="32">
        <f t="shared" si="113"/>
        <v>84</v>
      </c>
      <c r="B286" s="30" t="str">
        <f t="shared" si="113"/>
        <v>贵州北极熊实业有限公司</v>
      </c>
      <c r="C286" s="24" t="s">
        <v>11</v>
      </c>
      <c r="D286" s="24" t="s">
        <v>311</v>
      </c>
      <c r="E286" s="5" t="s">
        <v>785</v>
      </c>
      <c r="F286" s="5">
        <v>5</v>
      </c>
      <c r="G286" s="5" t="s">
        <v>773</v>
      </c>
      <c r="H286" s="5" t="s">
        <v>402</v>
      </c>
      <c r="I286" s="5" t="s">
        <v>778</v>
      </c>
      <c r="J286" s="5" t="s">
        <v>579</v>
      </c>
      <c r="K286" s="26" t="str">
        <f t="shared" si="104"/>
        <v>轮岗部门包括生产部</v>
      </c>
    </row>
    <row r="287" spans="1:11" ht="40.950000000000003" customHeight="1" x14ac:dyDescent="0.25">
      <c r="A287" s="9">
        <f t="shared" si="113"/>
        <v>84</v>
      </c>
      <c r="B287" s="7" t="str">
        <f t="shared" si="113"/>
        <v>贵州北极熊实业有限公司</v>
      </c>
      <c r="C287" s="24" t="s">
        <v>11</v>
      </c>
      <c r="D287" s="24" t="s">
        <v>311</v>
      </c>
      <c r="E287" s="5" t="s">
        <v>786</v>
      </c>
      <c r="F287" s="5">
        <v>4</v>
      </c>
      <c r="G287" s="5" t="s">
        <v>787</v>
      </c>
      <c r="H287" s="5" t="s">
        <v>402</v>
      </c>
      <c r="I287" s="5" t="s">
        <v>788</v>
      </c>
      <c r="J287" s="5" t="s">
        <v>579</v>
      </c>
      <c r="K287" s="26" t="str">
        <f t="shared" si="104"/>
        <v>轮岗部门包括生产部</v>
      </c>
    </row>
    <row r="288" spans="1:11" ht="40.950000000000003" customHeight="1" x14ac:dyDescent="0.25">
      <c r="A288" s="26">
        <v>85</v>
      </c>
      <c r="B288" s="25" t="s">
        <v>789</v>
      </c>
      <c r="C288" s="24" t="s">
        <v>11</v>
      </c>
      <c r="D288" s="24" t="s">
        <v>57</v>
      </c>
      <c r="E288" s="5" t="s">
        <v>790</v>
      </c>
      <c r="F288" s="5">
        <v>15</v>
      </c>
      <c r="G288" s="24" t="s">
        <v>791</v>
      </c>
      <c r="H288" s="24" t="s">
        <v>15</v>
      </c>
      <c r="I288" s="27" t="s">
        <v>792</v>
      </c>
      <c r="J288" s="24" t="s">
        <v>793</v>
      </c>
      <c r="K288" s="26" t="str">
        <f t="shared" si="104"/>
        <v>轮岗部门包括生产部</v>
      </c>
    </row>
    <row r="289" spans="1:11" ht="40.950000000000003" customHeight="1" x14ac:dyDescent="0.25">
      <c r="A289" s="26">
        <v>86</v>
      </c>
      <c r="B289" s="5" t="s">
        <v>794</v>
      </c>
      <c r="C289" s="5" t="s">
        <v>11</v>
      </c>
      <c r="D289" s="5" t="s">
        <v>80</v>
      </c>
      <c r="E289" s="5" t="s">
        <v>795</v>
      </c>
      <c r="F289" s="5">
        <v>10</v>
      </c>
      <c r="G289" s="5" t="s">
        <v>796</v>
      </c>
      <c r="H289" s="5" t="s">
        <v>92</v>
      </c>
      <c r="I289" s="5" t="s">
        <v>797</v>
      </c>
      <c r="J289" s="5" t="s">
        <v>798</v>
      </c>
      <c r="K289" s="26" t="str">
        <f t="shared" si="104"/>
        <v>轮岗部门包括生产部</v>
      </c>
    </row>
    <row r="290" spans="1:11" ht="40.950000000000003" customHeight="1" x14ac:dyDescent="0.25">
      <c r="A290" s="26">
        <v>87</v>
      </c>
      <c r="B290" s="5" t="s">
        <v>799</v>
      </c>
      <c r="C290" s="24" t="s">
        <v>11</v>
      </c>
      <c r="D290" s="24" t="s">
        <v>80</v>
      </c>
      <c r="E290" s="5" t="s">
        <v>800</v>
      </c>
      <c r="F290" s="5">
        <v>2</v>
      </c>
      <c r="G290" s="24" t="s">
        <v>801</v>
      </c>
      <c r="H290" s="24" t="s">
        <v>802</v>
      </c>
      <c r="I290" s="27" t="s">
        <v>803</v>
      </c>
      <c r="J290" s="24" t="s">
        <v>804</v>
      </c>
      <c r="K290" s="26" t="str">
        <f t="shared" si="104"/>
        <v>轮岗部门包括生产部</v>
      </c>
    </row>
    <row r="291" spans="1:11" ht="40.950000000000003" customHeight="1" x14ac:dyDescent="0.25">
      <c r="A291" s="31">
        <v>88</v>
      </c>
      <c r="B291" s="6" t="s">
        <v>805</v>
      </c>
      <c r="C291" s="5" t="s">
        <v>11</v>
      </c>
      <c r="D291" s="5" t="s">
        <v>20</v>
      </c>
      <c r="E291" s="5" t="s">
        <v>806</v>
      </c>
      <c r="F291" s="5">
        <v>1</v>
      </c>
      <c r="G291" s="5" t="s">
        <v>807</v>
      </c>
      <c r="H291" s="5" t="s">
        <v>15</v>
      </c>
      <c r="I291" s="5" t="s">
        <v>808</v>
      </c>
      <c r="J291" s="5" t="s">
        <v>756</v>
      </c>
      <c r="K291" s="26" t="str">
        <f t="shared" si="104"/>
        <v>轮岗部门包括生产部</v>
      </c>
    </row>
    <row r="292" spans="1:11" ht="40.950000000000003" customHeight="1" x14ac:dyDescent="0.25">
      <c r="A292" s="32">
        <f t="shared" ref="A292:A295" si="114">A291</f>
        <v>88</v>
      </c>
      <c r="B292" s="30" t="str">
        <f t="shared" ref="B292:B294" si="115">B291</f>
        <v>贵州中龄大健康医院有限公司</v>
      </c>
      <c r="C292" s="5" t="s">
        <v>11</v>
      </c>
      <c r="D292" s="5" t="s">
        <v>20</v>
      </c>
      <c r="E292" s="5" t="s">
        <v>809</v>
      </c>
      <c r="F292" s="5">
        <v>2</v>
      </c>
      <c r="G292" s="5" t="s">
        <v>264</v>
      </c>
      <c r="H292" s="5" t="s">
        <v>15</v>
      </c>
      <c r="I292" s="5" t="s">
        <v>810</v>
      </c>
      <c r="J292" s="5" t="s">
        <v>756</v>
      </c>
      <c r="K292" s="26" t="str">
        <f t="shared" si="104"/>
        <v>轮岗部门包括生产部</v>
      </c>
    </row>
    <row r="293" spans="1:11" ht="40.950000000000003" customHeight="1" x14ac:dyDescent="0.25">
      <c r="A293" s="32">
        <f t="shared" si="114"/>
        <v>88</v>
      </c>
      <c r="B293" s="30" t="str">
        <f t="shared" si="115"/>
        <v>贵州中龄大健康医院有限公司</v>
      </c>
      <c r="C293" s="5" t="s">
        <v>11</v>
      </c>
      <c r="D293" s="5" t="s">
        <v>20</v>
      </c>
      <c r="E293" s="5" t="s">
        <v>811</v>
      </c>
      <c r="F293" s="5">
        <v>5</v>
      </c>
      <c r="G293" s="5" t="s">
        <v>812</v>
      </c>
      <c r="H293" s="5" t="s">
        <v>15</v>
      </c>
      <c r="I293" s="5" t="s">
        <v>813</v>
      </c>
      <c r="J293" s="5" t="s">
        <v>756</v>
      </c>
      <c r="K293" s="26" t="str">
        <f t="shared" si="104"/>
        <v>轮岗部门包括生产部</v>
      </c>
    </row>
    <row r="294" spans="1:11" ht="40.950000000000003" customHeight="1" x14ac:dyDescent="0.25">
      <c r="A294" s="32">
        <f t="shared" si="114"/>
        <v>88</v>
      </c>
      <c r="B294" s="7" t="str">
        <f t="shared" si="115"/>
        <v>贵州中龄大健康医院有限公司</v>
      </c>
      <c r="C294" s="5" t="s">
        <v>11</v>
      </c>
      <c r="D294" s="5" t="s">
        <v>20</v>
      </c>
      <c r="E294" s="5" t="s">
        <v>814</v>
      </c>
      <c r="F294" s="5">
        <v>10</v>
      </c>
      <c r="G294" s="5" t="s">
        <v>264</v>
      </c>
      <c r="H294" s="5" t="s">
        <v>83</v>
      </c>
      <c r="I294" s="5" t="s">
        <v>815</v>
      </c>
      <c r="J294" s="5" t="s">
        <v>756</v>
      </c>
      <c r="K294" s="26" t="str">
        <f t="shared" si="104"/>
        <v>轮岗部门包括生产部</v>
      </c>
    </row>
    <row r="295" spans="1:11" ht="40.950000000000003" customHeight="1" x14ac:dyDescent="0.25">
      <c r="A295" s="9">
        <f t="shared" si="114"/>
        <v>88</v>
      </c>
      <c r="B295" s="5" t="s">
        <v>816</v>
      </c>
      <c r="C295" s="5" t="s">
        <v>11</v>
      </c>
      <c r="D295" s="5" t="s">
        <v>20</v>
      </c>
      <c r="E295" s="5" t="s">
        <v>817</v>
      </c>
      <c r="F295" s="5">
        <v>5</v>
      </c>
      <c r="G295" s="5" t="s">
        <v>264</v>
      </c>
      <c r="H295" s="5" t="s">
        <v>83</v>
      </c>
      <c r="I295" s="5" t="s">
        <v>818</v>
      </c>
      <c r="J295" s="5" t="s">
        <v>756</v>
      </c>
      <c r="K295" s="26" t="str">
        <f t="shared" si="104"/>
        <v>轮岗部门包括生产部</v>
      </c>
    </row>
    <row r="296" spans="1:11" ht="21" customHeight="1" x14ac:dyDescent="0.25">
      <c r="A296" s="1">
        <f t="shared" ref="A296:K296" si="116">A295</f>
        <v>88</v>
      </c>
      <c r="B296" s="2" t="str">
        <f t="shared" si="116"/>
        <v>贵阳逸合康养度假酒店有限公司</v>
      </c>
      <c r="C296" s="1" t="str">
        <f t="shared" si="116"/>
        <v>民营企业</v>
      </c>
      <c r="D296" s="3" t="str">
        <f t="shared" si="116"/>
        <v>现代服务业</v>
      </c>
      <c r="E296" s="3" t="str">
        <f t="shared" si="116"/>
        <v>高级餐饮服务员</v>
      </c>
      <c r="F296" s="4">
        <f t="shared" si="116"/>
        <v>5</v>
      </c>
      <c r="G296" s="1" t="str">
        <f t="shared" si="116"/>
        <v>专业不限</v>
      </c>
      <c r="H296" s="1" t="str">
        <f t="shared" si="116"/>
        <v>大专及以下</v>
      </c>
      <c r="I296" s="1" t="str">
        <f t="shared" si="116"/>
        <v>1、年龄：18-40 周岁，身高 160cm 及以上；
2、具备良好的客户服务意识，能够有效解决客户问题</v>
      </c>
      <c r="J296" s="1" t="str">
        <f t="shared" si="116"/>
        <v>贵阳市花溪区</v>
      </c>
      <c r="K296" s="1" t="str">
        <f t="shared" si="116"/>
        <v>轮岗部门包括生产部</v>
      </c>
    </row>
  </sheetData>
  <phoneticPr fontId="8" type="noConversion"/>
  <dataValidations count="12">
    <dataValidation type="list" allowBlank="1" showInputMessage="1" showErrorMessage="1" sqref="G113:H113 H242 H2:H5 H15:H19 H22:H43 H108:H112 H114:H116 H131:H134 H157:H160 H204:H211 H220:H221 H244:H246 H248:H279 H288:H295" xr:uid="{00000000-0002-0000-0000-000000000000}">
      <formula1>"博士研究生,硕士研究生,本科及学士学位,大学本科,大学专科,大专及以下"</formula1>
    </dataValidation>
    <dataValidation allowBlank="1" showInputMessage="1" showErrorMessage="1" prompt="必填项、与单位名称一致" sqref="B137 B261:B262 B280:B287" xr:uid="{00000000-0002-0000-0000-000001000000}"/>
    <dataValidation type="textLength" allowBlank="1" showInputMessage="1" showErrorMessage="1" promptTitle="职位名称" prompt="必填项" sqref="E137 E139:E140" xr:uid="{00000000-0002-0000-0000-000002000000}">
      <formula1>2</formula1>
      <formula2>15</formula2>
    </dataValidation>
    <dataValidation type="list" allowBlank="1" showInputMessage="1" showErrorMessage="1" sqref="C202" xr:uid="{00000000-0002-0000-0000-000003000000}">
      <formula1>"行政机关,事业单位,国有企业,民营企业,民营"</formula1>
    </dataValidation>
    <dataValidation type="list" allowBlank="1" showInputMessage="1" showErrorMessage="1" sqref="C227 C2:C19 C22:C32 C108:C116 C141:C155 C157:C160 C192:C201 C203:C221 C242:C246 C249:C295" xr:uid="{00000000-0002-0000-0000-000004000000}">
      <formula1>"行政机关,事业单位,国有企业,民营企业"</formula1>
    </dataValidation>
    <dataValidation type="list" allowBlank="1" showInputMessage="1" showErrorMessage="1" sqref="D227 D2:D19 D22:D32 D108:D116 D141:D155 D157:D160 D192:D221 D242:D246 D249:D295" xr:uid="{00000000-0002-0000-0000-000005000000}">
      <formula1>"新型工业化,新型城镇化,乡村振兴和农业现代化,旅游产业化,现代服务业,大数据,航空航天及装备制造业,大生态,教育科技,医疗卫生,其他行业"</formula1>
    </dataValidation>
    <dataValidation allowBlank="1" showInputMessage="1" showErrorMessage="1" promptTitle="招聘人数" prompt="必填项，可填入不限" sqref="F280 F137:F140" xr:uid="{00000000-0002-0000-0000-000006000000}"/>
    <dataValidation allowBlank="1" showInputMessage="1" showErrorMessage="1" promptTitle="要求填入" prompt="符合贵州省人社厅公布的事业单位招聘专业目录范围的专业皆可" sqref="G280 G137:G140" xr:uid="{00000000-0002-0000-0000-000007000000}"/>
    <dataValidation type="list" allowBlank="1" showInputMessage="1" showErrorMessage="1" sqref="G281:G287" xr:uid="{00000000-0002-0000-0000-000008000000}">
      <formula1>INDIRECT(F281)</formula1>
    </dataValidation>
    <dataValidation type="list" allowBlank="1" showInputMessage="1" showErrorMessage="1" errorTitle="无效内容" promptTitle="学历要求" prompt="必填项" sqref="H137:H140 H280:H287" xr:uid="{00000000-0002-0000-0000-000009000000}">
      <formula1>"不限,无,初中,高中,中专,中职,高职,专科,专科及以上,本科,本科及以上,硕士,硕士及以上,博士,博士及以上"</formula1>
    </dataValidation>
    <dataValidation type="list" allowBlank="1" showInputMessage="1" showErrorMessage="1" sqref="H202:H203" xr:uid="{00000000-0002-0000-0000-00000A000000}">
      <formula1>"博士研究生,硕士研究生,本科及学士学位,大学本科,大学专科,大专及以下,本科"</formula1>
    </dataValidation>
    <dataValidation allowBlank="1" showInputMessage="1" showErrorMessage="1" promptTitle="职位描述" prompt="必填项、岗位职责其他要求等" sqref="I137:I140 I280:I287" xr:uid="{00000000-0002-0000-0000-00000B000000}"/>
  </dataValidations>
  <pageMargins left="0.75" right="0.75" top="1" bottom="1" header="0.5" footer="0.5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2024-07-23T04:00:00Z</dcterms:created>
  <dcterms:modified xsi:type="dcterms:W3CDTF">2026-05-12T02:00:28Z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9F23E4D18B094A7C8B595DFF2B997C07_13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0</vt:i4>
  </property>
</Properties>
</file>